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pace.edu\shares\users\sd54347n\Documents\"/>
    </mc:Choice>
  </mc:AlternateContent>
  <bookViews>
    <workbookView xWindow="-120" yWindow="-120" windowWidth="24240" windowHeight="13140" activeTab="3"/>
  </bookViews>
  <sheets>
    <sheet name="Data" sheetId="1" r:id="rId1"/>
    <sheet name="RiskSerializationData" sheetId="5" state="hidden" r:id="rId2"/>
    <sheet name="rsklibSimData" sheetId="6" state="hidden" r:id="rId3"/>
    <sheet name="Model" sheetId="2" r:id="rId4"/>
    <sheet name="Model (10 Years)" sheetId="9" r:id="rId5"/>
    <sheet name="Output Results" sheetId="3" r:id="rId6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8</definedName>
    <definedName name="_AtRisk_SimSetting_MultipleCPUMode" hidden="1">1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0</definedName>
    <definedName name="_AtRisk_SimSetting_ReportOptionCustomItemSummaryGraphType02" hidden="1">0</definedName>
    <definedName name="_AtRisk_SimSetting_ReportOptionCustomItemSummaryGraphType03" hidden="1">0</definedName>
    <definedName name="_AtRisk_SimSetting_ReportOptionCustomItemSummaryGraphType04" hidden="1">0</definedName>
    <definedName name="_AtRisk_SimSetting_ReportOptionCustomItemSummaryGraphType05" hidden="1">0</definedName>
    <definedName name="_AtRisk_SimSetting_ReportOptionCustomItemSummaryGraphType06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2</definedName>
    <definedName name="_AtRisk_SimSetting_ReportOptionReportSelection" hidden="1">8204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8204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Pal_Workbook_GUID" hidden="1">"FH5TAPWL1T1IKDB79WAMSN6V"</definedName>
    <definedName name="PalisadeReportWorkbookCreatedBy">"AtRisk"</definedName>
    <definedName name="PalisadeReportWorksheetCreatedBy" localSheetId="5">"AtRisk"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"$B$20"</definedName>
    <definedName name="RiskSelectedNameCell1" hidden="1">"$A$20"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4" i="2" l="1"/>
  <c r="J12" i="2"/>
  <c r="J17" i="2" s="1"/>
  <c r="J11" i="2"/>
  <c r="N11" i="9" l="1"/>
  <c r="M11" i="9"/>
  <c r="L11" i="9"/>
  <c r="K11" i="9"/>
  <c r="J11" i="9"/>
  <c r="B19" i="9" l="1"/>
  <c r="I11" i="9"/>
  <c r="H11" i="9"/>
  <c r="G11" i="9"/>
  <c r="F11" i="9"/>
  <c r="E11" i="9"/>
  <c r="E5" i="9"/>
  <c r="AN3" i="5" l="1"/>
  <c r="B19" i="2"/>
  <c r="I11" i="2"/>
  <c r="H11" i="2"/>
  <c r="G11" i="2"/>
  <c r="F11" i="2"/>
  <c r="E11" i="2"/>
  <c r="E5" i="2"/>
  <c r="B10" i="1"/>
  <c r="E12" i="2"/>
  <c r="H12" i="2"/>
  <c r="B21" i="1"/>
  <c r="B17" i="1"/>
  <c r="B19" i="1"/>
  <c r="B18" i="1"/>
  <c r="J12" i="9" l="1"/>
  <c r="N12" i="9"/>
  <c r="L12" i="9"/>
  <c r="M12" i="9"/>
  <c r="M17" i="9" s="1"/>
  <c r="K12" i="9"/>
  <c r="K17" i="9" s="1"/>
  <c r="G12" i="9"/>
  <c r="E12" i="9"/>
  <c r="E17" i="9" s="1"/>
  <c r="H12" i="9"/>
  <c r="F12" i="9"/>
  <c r="I12" i="9"/>
  <c r="I17" i="9" s="1"/>
  <c r="B13" i="1"/>
  <c r="I12" i="2"/>
  <c r="F12" i="2"/>
  <c r="G12" i="2"/>
  <c r="F5" i="2"/>
  <c r="F7" i="2" s="1"/>
  <c r="F5" i="9"/>
  <c r="F8" i="9" s="1"/>
  <c r="B5" i="2"/>
  <c r="B7" i="2" s="1"/>
  <c r="B11" i="2" s="1"/>
  <c r="B5" i="9"/>
  <c r="E8" i="9"/>
  <c r="E7" i="9"/>
  <c r="E7" i="2"/>
  <c r="E8" i="2"/>
  <c r="B8" i="2" s="1"/>
  <c r="G17" i="9" l="1"/>
  <c r="F17" i="9"/>
  <c r="B14" i="9" s="1"/>
  <c r="E17" i="2"/>
  <c r="G17" i="2"/>
  <c r="F17" i="2"/>
  <c r="I17" i="2"/>
  <c r="H17" i="2"/>
  <c r="L17" i="9"/>
  <c r="N17" i="9"/>
  <c r="J17" i="9"/>
  <c r="H17" i="9"/>
  <c r="F8" i="2"/>
  <c r="F9" i="2" s="1"/>
  <c r="F13" i="2" s="1"/>
  <c r="F15" i="2" s="1"/>
  <c r="F19" i="2" s="1"/>
  <c r="G5" i="2"/>
  <c r="G8" i="2" s="1"/>
  <c r="B7" i="9"/>
  <c r="F7" i="9"/>
  <c r="F9" i="9" s="1"/>
  <c r="G5" i="9"/>
  <c r="E9" i="9"/>
  <c r="E9" i="2"/>
  <c r="E13" i="2" s="1"/>
  <c r="E15" i="2" s="1"/>
  <c r="B9" i="2"/>
  <c r="B13" i="2" s="1"/>
  <c r="B15" i="2" s="1"/>
  <c r="B17" i="2" s="1"/>
  <c r="E19" i="2" l="1"/>
  <c r="B18" i="2" s="1"/>
  <c r="G7" i="2"/>
  <c r="G9" i="2" s="1"/>
  <c r="G13" i="2" s="1"/>
  <c r="G15" i="2" s="1"/>
  <c r="G19" i="2" s="1"/>
  <c r="H5" i="2"/>
  <c r="H8" i="2" s="1"/>
  <c r="B11" i="9"/>
  <c r="E13" i="9"/>
  <c r="E15" i="9" s="1"/>
  <c r="E19" i="9" s="1"/>
  <c r="F13" i="9"/>
  <c r="F15" i="9" s="1"/>
  <c r="F19" i="9" s="1"/>
  <c r="H5" i="9"/>
  <c r="G7" i="9"/>
  <c r="G8" i="9"/>
  <c r="H7" i="2" l="1"/>
  <c r="H9" i="2" s="1"/>
  <c r="H13" i="2" s="1"/>
  <c r="H15" i="2" s="1"/>
  <c r="H19" i="2" s="1"/>
  <c r="I5" i="2"/>
  <c r="J5" i="2" s="1"/>
  <c r="G9" i="9"/>
  <c r="G13" i="9" s="1"/>
  <c r="G15" i="9" s="1"/>
  <c r="G19" i="9" s="1"/>
  <c r="I5" i="9"/>
  <c r="J5" i="9" s="1"/>
  <c r="K5" i="9" s="1"/>
  <c r="L5" i="9" s="1"/>
  <c r="M5" i="9" s="1"/>
  <c r="N5" i="9" s="1"/>
  <c r="H8" i="9"/>
  <c r="H7" i="9"/>
  <c r="J8" i="2" l="1"/>
  <c r="J7" i="2"/>
  <c r="I8" i="2"/>
  <c r="I7" i="2"/>
  <c r="N8" i="9"/>
  <c r="N7" i="9"/>
  <c r="M7" i="9"/>
  <c r="M8" i="9"/>
  <c r="L8" i="9"/>
  <c r="L7" i="9"/>
  <c r="K8" i="9"/>
  <c r="K7" i="9"/>
  <c r="J8" i="9"/>
  <c r="J7" i="9"/>
  <c r="H9" i="9"/>
  <c r="H13" i="9" s="1"/>
  <c r="H15" i="9" s="1"/>
  <c r="H19" i="9" s="1"/>
  <c r="I8" i="9"/>
  <c r="I7" i="9"/>
  <c r="J9" i="2" l="1"/>
  <c r="J13" i="2"/>
  <c r="J15" i="2" s="1"/>
  <c r="J19" i="2" s="1"/>
  <c r="I9" i="2"/>
  <c r="I13" i="2" s="1"/>
  <c r="I15" i="2" s="1"/>
  <c r="I19" i="2" s="1"/>
  <c r="L9" i="9"/>
  <c r="L13" i="9" s="1"/>
  <c r="L15" i="9" s="1"/>
  <c r="L19" i="9" s="1"/>
  <c r="N9" i="9"/>
  <c r="N13" i="9" s="1"/>
  <c r="N15" i="9" s="1"/>
  <c r="N19" i="9" s="1"/>
  <c r="B8" i="9"/>
  <c r="B9" i="9" s="1"/>
  <c r="B13" i="9" s="1"/>
  <c r="B15" i="9" s="1"/>
  <c r="B17" i="9" s="1"/>
  <c r="K9" i="9"/>
  <c r="K13" i="9" s="1"/>
  <c r="K15" i="9" s="1"/>
  <c r="K19" i="9" s="1"/>
  <c r="M9" i="9"/>
  <c r="M13" i="9" s="1"/>
  <c r="M15" i="9" s="1"/>
  <c r="M19" i="9" s="1"/>
  <c r="J9" i="9"/>
  <c r="J13" i="9" s="1"/>
  <c r="J15" i="9" s="1"/>
  <c r="J19" i="9" s="1"/>
  <c r="I9" i="9"/>
  <c r="I13" i="9" s="1"/>
  <c r="I15" i="9" s="1"/>
  <c r="I19" i="9" s="1"/>
  <c r="B18" i="9" l="1"/>
  <c r="B20" i="2"/>
  <c r="B20" i="9"/>
  <c r="AG3" i="5" l="1"/>
  <c r="A3" i="5"/>
</calcChain>
</file>

<file path=xl/sharedStrings.xml><?xml version="1.0" encoding="utf-8"?>
<sst xmlns="http://schemas.openxmlformats.org/spreadsheetml/2006/main" count="115" uniqueCount="79">
  <si>
    <t>Acquisition Data</t>
  </si>
  <si>
    <t>Land Value</t>
  </si>
  <si>
    <t>Buildings/Improvements</t>
  </si>
  <si>
    <t>Purchase Price</t>
  </si>
  <si>
    <t>Financing Data</t>
  </si>
  <si>
    <t>Down Payment</t>
  </si>
  <si>
    <t>Amount Financed</t>
  </si>
  <si>
    <t>APR</t>
  </si>
  <si>
    <t>Term</t>
  </si>
  <si>
    <t>Annual Payment</t>
  </si>
  <si>
    <t xml:space="preserve">      Economic Assumptions</t>
  </si>
  <si>
    <t xml:space="preserve">Annual Gross Rental Income </t>
  </si>
  <si>
    <t>Rental Income Growth Rate</t>
  </si>
  <si>
    <t>V&amp;C Allowance</t>
  </si>
  <si>
    <t>Operating Expenses</t>
  </si>
  <si>
    <t>Tax Rate</t>
  </si>
  <si>
    <t>Property Value Growth Rate</t>
  </si>
  <si>
    <t>Sales Commission</t>
  </si>
  <si>
    <t>Discount Rate</t>
  </si>
  <si>
    <t>Financial Summary</t>
  </si>
  <si>
    <t xml:space="preserve">Less: </t>
  </si>
  <si>
    <t>Gross Income</t>
  </si>
  <si>
    <t xml:space="preserve">         Selling expense</t>
  </si>
  <si>
    <t>Less:</t>
  </si>
  <si>
    <t xml:space="preserve">         Tax basis</t>
  </si>
  <si>
    <t xml:space="preserve">        V&amp;C Allowance</t>
  </si>
  <si>
    <t>Taxable gain</t>
  </si>
  <si>
    <t xml:space="preserve">        Operating Exp.</t>
  </si>
  <si>
    <t>Net Operating Income</t>
  </si>
  <si>
    <t>Proceeds from sale</t>
  </si>
  <si>
    <t xml:space="preserve">        Depreciation</t>
  </si>
  <si>
    <t xml:space="preserve">         Taxes </t>
  </si>
  <si>
    <t xml:space="preserve">        Interest</t>
  </si>
  <si>
    <t xml:space="preserve">          Loan payoff</t>
  </si>
  <si>
    <t>Taxable Income</t>
  </si>
  <si>
    <t>Net cash from sale</t>
  </si>
  <si>
    <t>Taxes Paid (Saved)</t>
  </si>
  <si>
    <t>PV of sale proceeds</t>
  </si>
  <si>
    <t>PV of cash flows</t>
  </si>
  <si>
    <t>Principal Paid</t>
  </si>
  <si>
    <t>Less: Original Equity</t>
  </si>
  <si>
    <t>Total NPV</t>
  </si>
  <si>
    <t>Net Cash Flow</t>
  </si>
  <si>
    <t>Year</t>
  </si>
  <si>
    <t>Years Held</t>
  </si>
  <si>
    <t>Sales price</t>
  </si>
  <si>
    <t>Cash Flows</t>
  </si>
  <si>
    <t>Brunswick Properties Data</t>
  </si>
  <si>
    <t>Brunswick Properties Model</t>
  </si>
  <si>
    <t>Random Variables</t>
  </si>
  <si>
    <t>Op. Expenses Mean</t>
  </si>
  <si>
    <t>Rental Income Growth</t>
  </si>
  <si>
    <t>Property Value Growth</t>
  </si>
  <si>
    <t>Min</t>
  </si>
  <si>
    <t>Most likely</t>
  </si>
  <si>
    <t>Max</t>
  </si>
  <si>
    <t>Minimum</t>
  </si>
  <si>
    <t>Maximum</t>
  </si>
  <si>
    <t>Mean</t>
  </si>
  <si>
    <t>St. Dev</t>
  </si>
  <si>
    <t>B20</t>
  </si>
  <si>
    <t>Model</t>
  </si>
  <si>
    <t>Errors</t>
  </si>
  <si>
    <t>Graph</t>
  </si>
  <si>
    <t>Cell</t>
  </si>
  <si>
    <t>Worksheet</t>
  </si>
  <si>
    <t>Name</t>
  </si>
  <si>
    <r>
      <t>Date:</t>
    </r>
    <r>
      <rPr>
        <sz val="8"/>
        <color theme="1"/>
        <rFont val="Tahoma"/>
        <family val="2"/>
      </rPr>
      <t xml:space="preserve"> Friday, December 6, 2019 6:36:18 PM</t>
    </r>
  </si>
  <si>
    <t>@RISK Output Results</t>
  </si>
  <si>
    <t>f4ff1df484cf1bb41d145539f7041e6c_x0004__x0007_MËÒÓ´µ?º3h»'£?_x000C_½Øê.?dÏJ	?¨?m®ÁçÓ?_x0017__x0012__x0012_§^Û?ÐÀExÑ_x001E_?&amp;njXÇ?Ê#J¦Ï?ü^è_x000F_ÆÜ ?¦7þËF?@½ìý#?P_x0003_Ä87q?$Äú*¯°?Õ§æ_x000B_e?¨G_x0001_TYN¡?dgÎðïÅ?Î}éÉ ?_x0003__x0005_AçP£?_x000C_Ûá?[çxZ_x0012_?/Ûñl°?ì_x001A_Î°!?_x0010_¼¦(I?¢ç·õj_x001C_?&lt;?_x0007_²©?t²#^¨?`ûÅï°?l×_x0006__x001E_u?nÍR_x0002_8?_x000B_5¤ý½¼?_x000C_Û0_x0003__x0004_c_x001D_¢?Ó)_-µÒ£?r_x000D_t×?a_x000F__x001C_{Ä£?L]¿¬_x001C_u?Ê¦»r??TÛøZ¯_x0006_?Áö2?SX6×0¦?6ï?àL{?ÒÆsôèc?FH¢ûW?¢ä_x0010_Àoâ?\´sc=â?[B(_x001F__x001F_ ?.k_x0001_cA?Úþ#_x0007_¥?_x0011_rC_x000E_¨}?8 =Nág?x²__x0017_Ë?ìó@õia¢?Ì´ùÐC_x0004_¦?UÇ¥¬ÌÁ¢?äZÃº#?¾Ð:×8_x001A_?VÈ:¸à_x0002_?8ý&lt;$Y?C»_x0008_w¬k¨?ö&lt;L$ê_x000C_¡?J¿tÛæ ?ç.Òª?OTçÑ; ?_x0003__x0005_âïTõ}º?ÌÇ½]?¢?c»&amp; ©?ø_x0006_z¼_x0012_Q?_x001E_¿.øL?Q0dmÔ_x0003_¢?[käD_x0017_¥?OÝ"_x001E_î_x0007_¤?_x0015_r¢?hWë_x0001_?óà_x0010_vY ?®äM*|?R ?1_x0003__x0007_?_x001E_AËn?ð|áÕq¨?Î_x0012__x0015_âòg?_x0002_6&amp;y_x0015_È?é_x0011_`_x0002_´?ðÀÙ±J_x0004_¥?Uª_x0011__x0016__x0011_] ?*ÙôÔ?_x0010_dÈÊò?{«ù99¢?­cï÷8y¤?®æod3Å?F$é%æ½ ?_x0012_â·_x001F_í?e_x000F_n?_x0016_´Ê­_x0019_?ç¾LjÈ5¤?&amp;_x0012_&lt;áÝÂ?9÷Eµ_x0003__x0005_)°¢?_x0004_uÛüí?_x0017__jÁ{X¢?¶Æ_x0002_ó?)»@_x0007__x0001_?_x0014_F_x0007__x0013_/?6ûò¦?Ñ_x0008_Ð¼F_x0013_¢?F_x0007_Ô_x0002_;n?£W²©½&lt;¢?_x0004_ÿÍ,?\LMüÕ_x001A_?LbÙ_x001D_?èP®6R±?bW_x0015_;?Ô2Êg¶¥?ÀàOv	?ØF¹ô¥h?ÉjT¢_x0012_ ?_x0012_ôz|Tx?c[´_x0014_tF¡?h_x000D_¦_x000E_©?(µ3emù?åá_x0014_:?_x001C_Fd,ñ?ÞÀ_x000C_­F_x0012_¢?P¹ý_x0015_A?È²*_x0015_ÈU?.~·@È?²¨J@_x0016_?_x0016_Û¥¿,?½GµÅå¦?_x0001__x0005_ªýD½?VPS5¢?_x0004_aH¾#¢?jöîC_x0013_?T_x0015_vVø?-TÑÉ_x0016_D¢?¶X}®v?R?9'?+_x0001_®x°¡?_x0016__x0002_Q?¸Ü@BÇ?®ß/_x0003_è?vÂ_x0014_¬?J?·µÿV£?uSÖo±?Ü¹ªà7?Fh;?Ýá?ÙÛëßÓ?¡¸A_x0010_{P?¨Á_x001C_ÔÑW?_x0018_Wçµ?Ôûa1ò?¢Ú2Õí:?_x0004_~V¼?LU?(IJ?\VsÚD~?l0=|_x001E_k?"|sö2?´4çp=P?åæÉ6!j¡?sd_x0014_._x001F_£?®_x0002_ _x0006__x0001__x0008_dÜ?7ME3?¾2ÍM³Í?Óaþ_x001D_?ÖKEðM?ðSò_x0007__x0010_?Ö_ð°x?ß×¨Sy_x0002_?"_x000F_ì_x0001_Ä¨?SnvuV¤?_x0005__x0016__x0006_ãt ?î¼NÁ°q¡?ï_x000F__x001E_kÆ?b;W´G?.i_x0003_M	â? s"àM?ÚI"_x0007_¨?B5_x0004_CÍ_x000F_?ÎÇ1C±Í¥?á_x0013__x0017__x000B_ä ?¥_x001A_3ñÇK£?ô_x001F_Lð¤s?F¹´_x0018_ýÏ?¼´É_x0018_·»?ÒôH8Ü?°ÛBEP_x0007_£?øË¢$ü0?ÏÖ`9	?HÙ²&amp;ö«?9¥«´?×y{Ü_x000E_"¤? _x0010_Çl_x0018_p?_x0001__x0002_ýÇ_x0001_/¢?_x0014_ó_x0018_51Í¦?;6pµÙ£?VkÉ?1:_x000C_³£?b_x0001_6_x0015_c:?F!_x0010_2C?âæ^	í?"S_x001C_'$U?1ÄWÝ£u¥?i©¤ÔÚ*¡?Ü¯JC²?ë_x000C_ò0/É?XÐ_x0015__x0010_&amp;¢?|40_x0002_C¡?¼_x0008_`×@Î? Ð¡?á¾õ[?_x000D_Ü ^&gt;¥?H_x0006_±!M´?PVÎ¦É_?ôðð(R?ôäL;:Ó?¬óÎÐÖ_x0002_?F&lt;+?{?._x0012_7g+6?ã=r&amp;!¦?¤îÕOC¶?e_x001A_ñÞ?hW@hÕÎ?ô®æªÏg¥?N©)_x0003__x0007_ÿþ¢?ÎÌ¯Ç¼?|-[Ú¢?øm_x001E_èë?_x0010_Ý°_x0011_?±¡sF%?Vó¥ rÁ?Ï¸­Ó)?êL¬èÍ?4u´57,?W¸Ã{C¤?_x0006_*N_x0012_?(V~è1?è1ãSH_x0018_A_x001A_CrêÖ_x0012_A_x0003_$_x0002_N^_x0013_A4_x0003__x0004_þgv_x0015_AÄ_x0014__x0015_$_x0001_¡_x0012_Aæ0¯)vS_x0014_Aè¹þA_x001E_Þ_x0012_A¸Á¥l[º_x0012_A_x0014__x0005__x0019__x0019_Æ_x0011_A6?ÿ#õ9_x0018_Ax£_x001A_._x0016_Aö*_x0002_0îã_x0007_AR­r`_x0017_AÈQ.?_x001B__x001E__x000E_A_x0004_¶`õJÁ_x0013_AÐ_x001D__Õ_x001D_a_x000F_A`ZÏ·	_x0010_Awo¤_x0017_»_x000D_A|UÏ0ËÍ_x000E_A_x0001__x0003_ìÊ2hÉ_x0013_A _x0012_¬&amp;5#_x0011_AÈÞ_x0012__x0004__x0017__x0015_A_x0001_PfÃâÎ_x0018_AR_x000F_PË._x0011_AK_x001F_¿}%_x001A_AÜ¼ï³w_x0012__x000D_A&lt;»O_x0018_æn_x001B_AäoÆ_x0004_L _x0011_A¤[K&lt;_x0018_A_x000C_o;üC_x0008__x000E_A_x0018_Ê_x0016_R®!_x0014_A4ßcco_x0015_AàÅésõü_x0014_A² %óIY_x0010_AÊ_x000E_$+_x0012_AüêBI?&gt;_x0014_A8ØëÆ!._x0014_Aü#_x000B_df_x001A_At)jñ_x0003_Î_x0015_A_x0004_ËzÌ@_x000F_Adù_x0018_®é_x0002__x0013_AjÙ#_x0002_÷_x0014_AB&lt;$]è_x001A__x0018_A,_x0018_º[ê_x0013_At5e×_x000C__x0015_Aðu|­JX_x000E_A:Owi_x0013_A_x0008_Öþ$°G_x0010_AOîd_x001A__x0013_A$¹ìýë_x0019__x0014_A6úÀÊ_x0001__x0003_lx_x0011_AHyxwe¦_x0011_A*Î_x0006__x001E_K_x0017_A 5'N&gt;	_x0014_AÔ¾À_x0005_Aô_x0002_X,¶_x0015_Aï¤_x0001__x0008__x001E__x0013_AÜ-R+­	_x0013_AøÌ`'_x0014_Aðu`\3í_x0012_A Ãô½Ú_x000D_AÈ[bÏ~_x001A__x0016_AÐÝF_x0012__x001C_ABôrl`\_x0012_A:Îj¦_x0005_÷_x0013_A¤±¯«-_x0017__x0012_A_x001B_n_x0012_AÿÒ\0¦_x0011_A_x0010_Wïô_x0005_g_x000F_ApuCÿÏ_x001E__x0014_AP¾nW®_x0010_A*V_x0007_F¤_x0012_Aâ@X¦Î´_x0013_A:H,Õ9ã_x0010_AFd¯àd@	AØLí¹à_x0011_Adjß_x001F_­_x0010_A(Ümü_x0012_AöóO¸ÖÙ_x0013_A*~_x0008_ëN_x0017_A¦â,{¦!_x0011_A´5æÏ_x0001_(_x0015_A_x0004__x0005_´Á§k_x001D_ì_x0015_A°_x0006_Ts_x000F_a	A &amp;'bK_x000E_AúO$_AÝ_x0012_Aþ{Ç7fP_x0010_AÃ_x0010_Vö_x0013_A2^ÀÖ_x0017_b_x0010_A¼þÑ¶ÈP_x0016_AØêîH£_x000F_A4lý{¼£_x000C_AÆNN_x0019_°_x0010_A4´\º_x001A_æ_x0013_A¼¦É_x0010_AX`-ÿ^i_x0007_Að 033_x0010_AzÛíY_x0014_AnÖCW_x0014_Aè)P¦E¡_x0011_A¸çéà`_x0018_A¦ÕÊ§_x0011_AöOz4_x0001_9_x0014_AÐó_x0003_ä¢_x0010_A%_x0002_-Ñ8_x0012_A&amp;õ~ôbM_x0013_A,Åp _x0005__x0018_AF¹Ï·y_x0011_Aj¿_x0007__x0018_û_x000F_A¬ø_x000E__x0008__x0004_â_x0010_AÌ#+NÔ_x000F_AÂ@Í_x0003__x000E_C_x0014_A¼ïA_x001F_æ_x0016__x0014_A_x0018_[_x0012_N_x0003__x0008_#z_x0012_AìM'ñ$_x0013_A_x001E__x001A_ð¹Ù{_x0011_At¿².ö_x000B_Aÿ_x0001_ø Y_x000E_An5|,Ó_x0007_A_x0006_¯Oí#_x0016_Aæ+ÓÛ_x0011_A´b_x000C__x001F_o_x000F_AHæ¦ëÔ_x0015_A(HÄû_x0004_i_x0016_Apw¡ÐQ_x000D_AüªFæ¢_x0010_Ahô"¤Ç_x000E_Aèú'0_x0012_A_x000C_ú%ööa_x0010_AtaÆ­Øq_x0017_AðÍJ`+Þ_x0011_A¶/{Úü¼_x0013_A|_x000F_ý)ì;	A$å_x0015_d¯_x000F__x0012_A8õ\S¹Û_x0016_Al_x0015__x001F_AÐ_x0011_AÌï2@gª_x000F_AR.â_RZ_x0015_Aà_x0002_zº_x0014_AðãR+ _x0001__x000D_A\«_x0017__x001F__x0007_AVy*¥ì_x0015_A_x0002_µè»«__x0016_AÜý°&amp;_x0008__x0012_APågú_x0005_µ_x000F_A_x0001__x0002_\* VCx_x0011_A­ÖïL¹_x0010_A+åÀR_x0013_AÐ³3T­_x0013_A@²Eïy	_x0013_AnùYîõ_x0013_A¬Ö_x0015_ÚWc_x000F_ANYVý{¡_x0014_Ah_x001A_x@_x0019_A_x0012_Ü:_x0018_|_x0011_AÌP×X_x0013_A_x0012_a©³P_x0014_AVÙwòÏ_x0011__x0015_Aå_x000F_Ð¹_x0006__x000F_A_x000E_i ªx_x0013_A*_x0002_¾_x0005_®ý_x0010_Aò;_x0015_Û´_x001C__x0012_A&amp;MJÌOA_x0011_Aõà_x0002__x000B_Aê&lt;·ê_x0015__x0010_A_x0001_S*}¯c_x0014_A(_x0001_05_x000C_AüO§qh_x0012_A_x0012_¹ä_x0014_AlÝ1'_x0004__x0012_A®P°¤	_x0013_Aò¿Q_x0007_®_x0010_A_x0010_ÅJú_x0018_Aryg#_x0015_ADåãsíW_x000F_A°u=_x001D_V÷_x000F_AP1q0_x0001__x0002_¸Å_x000F_Az±7÷^Õ_x0012_A4_x0015_U·_x000D_A\¶Ç×»t_x0010_AÒöØEX_x0012_A_x001F__x0018_ç_x0008_o_x000B_A¸v_x0013_Ã_x0015_æ_x000F_A;ÐGKØ_x0012_A@¢Ý1_x000E__x000F__x000C_A4g¶Eµ&lt;_x0019_A¨_x0015__x0015_YH|_x000B_A8q7_x0010_ÞL_x000E_AD(ïºd_x0015_A®h_x001F_vÃE_x0012_AÐ%ûÆ#]_x000E_A´#E¥;@_x0011_AÀ©¦ò _x0012_A_x001C_ÈHËùà_x0010_A¨ä[À_x0001_d_x0011_A¢V×&lt;8_x0016_A_x0008_B®äM_x0011_A@4_x000C_³.©_x0010_Aó¦°_x0017_¬_x0014_AÎ¦]D_x0011__x0014_AÒ_x000D_«"_x000E__x0016_Aì6ç°û_x0002__x0013_A0Ø«'n^_x0017_A&amp;çÜ_x000B_L_x0010_AÌ2ÈeI_x0012_Aº(ºö_x0008_Ú_x0010_ALz_x000B_¬JZ_x0010_Aìu¹zÔ_x0012_A_x0001__x0003_x:Ô÷L_x0014_AÀ&gt;R	G¥_x0011_AæÞªf_x0001__x0015_A_x000C_¥XÞ9ê_x0010_AÎ¶Än3Q_x0011_AòëÒÒÆû_x0017_Avo±_x0005_Y_x0016_A,¤?5j_x0013_A(`Å¥$Ü_x0015_Av_x0015_óu÷q_x0011_A8ßiú_x000E_A_x0006_ð_x001D_7_x0012_AJé­5:_x0010_A¬_x0018_{í&amp;_x0010_Aæ-¼8+._x0014_AÐa»_x000B_í!_x0003_A¸Á &gt;r_x000F_A^·*E_x001E_È_x0017_AðÀ®ÒS&lt;_x0005_AÍø6_x0011_AL&amp;úÓ½_x000D_A0sf{_x0007_¥_x0012_AJ_x0014_Ï_x0014_Ap_x000B_û¦à¯_x000F_AhëeADå_x0014_AÖQ£Mÿ_x0014_AÞBÌã_x0012_A$_3øJ-_x0014_Ap[Öÿ_x0010_A¨¹/¡__x0012_A_x0002_2éKU_x0013_A"N"¡_x0002__x0003_50_x0014_A¡@E_x0017_M_x0015_AZm)Hí_x0010_A_x0014_YQKáf_x0016_A.òi_x000B_ª_x0011_A0â_x0007_ÿ7+_x0014_AðC÷¼k_x000C_AÐÔ[äñ_x000E_AA§Ö#_x0011__x000F_A~_x0002_ka@v_x0016_AbÁöÀ_x000B__x0014_AâÅðx._x0011_ApøûÛwU_x0015_A_x0010_åâ¤_x000E_ArhÀ é_x0014_AV¢a"%_x0015_Aµß_x0011_Ü_x0014_A|»[T_x0016__x0011_A_x0013_X#_x0014_A°_x0006_è`ÐÃ_x0008_AZ_x0006_=`o_x0013_A|¤Íu_x0007_ò_x0015_AH=ÓÈ6{_x000D_A_x001C_BñcÁ_x0018_A²'õ_x0010_ÂV_x0012_AÀÓl%_x0014_A_x0005__x0008_¾_x0018_A¥zÐ_x0010__x0003__x0013_A_x0003_6 0Ð_x0019_A|;_x000C_AlÇ´_x0001_èJ_x0014_AÔ__x000B_JÝ_x000C_A_x0006__x000C_&gt;woO¨¯_x0010_A &gt;µVå_x0013_AÂ Þ&lt;À_x0011_Aü@n	_x0005_Æ_x000C_Aö_x001F_*.ö_x0014_A®×h¹É_x0011_AJÛ¯_x0011_A ìQëìê_x0015_A_x0004_!_x0017_y¯_x0008_A_x0008_aÓ¬)_x000C_A_x0014_«¥_x0001_æy_x0010_ALØ_x0014_x_x000B_Y_x0013_Aðd¾_x0016_®_x000B_Ah_x0011_â_x0017_â_x000D__x0013_A|ö¢*W6_x0012_Az©2¦Jó_x0011_A:_x0003_6àÝ~_x0013_Ax;&lt;ñ~_x0015_ABüBXa*_x0012_A°j5,ß_x0014_AÌÁã5ýT_x0011_AFóLä7_x0014_A_x0014_ÀÓlH_x0012_A&lt;_x0007_Hþ_x0010__x0014_A_x000C_i1_x0002__x0014_A_x0002__x0003__x000F_R_x0014_Ar_x001A__x001A_Ô_x0008_Aûæ+¶_x0012_AH_x0001_È ò_x0013_A ­XdC³_x000F_AÞO_x0015__x001F_°ù_x0016_A_x0004_ÚQp_x0001__x0003__x0008_Á_x000D_AZÁÊ!_x0014_A¾èu&lt;Ð_x0007_A D_x0013_¶u_x0013_AîUÍA¸_x0016_Aäy_x001F_w1ô_x0012_A_x001C__x0013__x0011_A0]6ÕÑ_x0010_AÞ_x000C_Àl_x0016_A¤rìÚe_x0015_A&lt;óµàä_x0016_A|9ìµa_x0008__x0016_A8°OÛ_x000E_A|R1÷[_x000F_A_x0001_`þoUn_x000F_A _x0013_T_x000F__x0012_AÐ¼J,_x0011_A#_x001C_çÐE_x0013_A_x0008_EÃ_x0002_ _x000D_Aádb¶_x0012_A,¡â_x0006_Õ÷_x000E_AÐË_x000C_¾_x0002_*_x0013_A(G79¯[_x000C_AÚÎê;àæ_x0015_A²&gt;Ú_x0012_8_x0011_ATX_x0017_wÃ4_x0010_ApIkS_x0015_7_x0017_A¤]jiþn_x0011_AÐJ~é_x000B_A2B	_x000C_¿	A_x000C_¸Ý_x001E_4_x0015_AÜ_x0018_]._x0010_A_x0001__x0003_ÌL_x001B_ê_x001C__x000C__x0014_AÊã¬_x001F_ø_x0011_A_x0002_/1ái_x0015_AÔ­Õu4_x000F__x0017_AZt_x000C_Æ_x0010_µ_x0014_AZ9n§_x0015_Axô&gt;¦_x0013_AZõ^³Ëã_x0014_A~×Ü'!7_x0004_AöA»_x0001__x001A_A_x000C_ûdüÈ¼_x000E_A~K_x0003_*_x0012_[_x0016_Aððîª_x000F__x0013_A_x0018__x000E__x000F__x000C__x000D__x000B_A h_x0002_Bè_x0017_A_x0004_ÎÊø_x0012_AÀ_x0013_$*_x0011_Aì|ÈçÑã_x000D_A²SzBòá_x0010_AôGs_x000E_Ò_x0016_Ad)æy´_x0013_AP´s_x0019_)_x0015__x0013_A¸AÁÈ_x000F_A_x0012_ý-_x0016_A(.?_x0011_Þ&amp;_x000F_Aä{Åy_x0005_M_x0018_A^_x000C_Â¥­l_x0011_A¸²{èÀÅ_x000C_A´_x0008_|G	&lt;_x0010_AÜFó_x000F__x0012__x0011_A$_x0003_Ì_x0017_O_x0010_A¬|[Ã_x0001__x0002_ñ÷_x0003_Af_x0014_Öåè_x0011_AdwJKð_x0014_Aâ|Ø|ë_x0010_A&gt;Á¯_x0011__x0011_AÀ_x001F_§½ò_x0001__x0011_AP_x001B_P#]_x0014_A2ñØ-P_x0010__x0010_AØÃq¡Z_x000E_A»5G_x0017_A¸7Yr_x000F_A_x0001_hËd5_x0008__x0013_A^_x0014_¡A6#_x0014_A%¹Ùî_x0014__x0011_AêJèHã0_x0011_AOµÒh_x000C_AÀÉ&lt;ZÍÏ_x0010_AFí_x000E_k¹_x0011_A_x0008_¼Evù*_x0012_A#*l`_x0017_AdT§+_x000F__x000F_ApìAf2)_x000D_AásFÕ&amp;_x0011_A_x0004_&amp;fáCß_x000E_AF§1÷_x000C__x0012_A_x001C_eÿÛ_x0013_AXÄ(RWª_x000F_AX·_51_x0007_AP3Zæë_x0013_A)õù_x0012_A~_x001D_d»ó_x0014_A#sz:C_x0014_A_x0001__x0002_ºx2_x0019_F_x0015_A8÷_x0016_ê_x0011_Aì+¤Þ_x0015_At_x0019_ë§_x0014__x0012_A¡(ç'_x0014_AaI5	C_x000C_A|Ø_x0002_=_x0014_Õ_x000D_A$uç;âS_x0012_AìôÑ®ë_x0011_Azí®_x0015__x001D_À_x0015_ALáK$ª¿_x000E_A0ã¸p_x0010_A_x0004_`hÔÌà_x0013_A_x0018_oq8_x001D__x0017_A°aX­_x001F__x0013_A,Ì/­¼_x0013_Aè_x000F_'_x0010__x001A_Ú_x0003_AªÐ¶_x000D_B[_x0011_A_x000E__x0002_íÁ_x000D__x0017_AÌÌÛ¹_x0018_AdOP(ÿ§_x0016_ArBjë_x0011_Aä_x0001_µ§¬²_x000E_A0YzH_x0012_A.5ÎÛª°_x0012_A·EÚw/_x0016_AW5å¼_x0012_Ahåm_x0013__x0006__x0004__x0016_A0ó¾ã_x0014_AX²_x0004_ßÒò_x000F_Aö_w§²_x0011_AÖrz_x0001__x0003__x0007__x0018_AþSðµ_x0011_Ap	ô÷_x0014_AdÍþ°_x0013__x0017__x0010_A*^_x000D__x000B_Õ­_x0017_AlB	{n_x0010_AÔ×\Le_x0012_AhduCf_x0013_A2_x0017__x001D_4Ï _x0014_ApÒIÞ#_x0013_ARª­_x0015_û_x0014_A_x0001_0p'_x0013_AÄt:IQH_x0014_A_x000C_KoÉC_x0002__x0013_APÄ:5»ã_x000E_Ad¿´jf_x0012_A~}±²O_x0013_AÂcô£_x0010__x0013_A¬±_x000C_Ë_x0007__x0013_A_x0010_X²Ï~_x000E_A(ö_x001D_ø_x0003_æ_x000D_AX_x001E_¾_x0015_iH_x000F_A¬BÆµÔê_x0018_AÈ_x0013_zÌÓ_x0016_Aàíz6«_x0011_AN¾èx6_x0012_Aø#3ñ/®_x0014_Aü	ÊvÐ*_x0004_A_x0014_ü½s_x0013__x0014_A4DÇi=_x000D_AÔ±s+H_x0011_AJÛÁ_x001B_._x0013_A_x0001__x0003_j11_x0019__x001C__x0012_Ap¶2_x000F__x0003__x0016_AªjÊ;_x0004_	_x0016_A_x0011_k¡h?_x000D_AV¼R&amp;t_x0007_AD_x0006_û½¥Ô_x0017_ALe	úÃS_x000E_A_x0014_ÕÃ×¢4_x0011_A_x0003_B/I_x0012_A@ß¤eaô_x0011_ALI_x001C_bo_x0017__x0017_AØuYn_x0016__x0013_AúÕ¬Çà._x0016_AÜ÷Ø _x0015_A¨£Í´Þ7_x0013_Ad±~±_x0012_¯_x000F_AäAKY^v_x0011_A¤ªo¥H_x0011_AFÕ-_x0010_AÐD1/g_x0014_APRú7&amp;¹_x0011_A°Dg\ÃÚ_x000B_AÌ_x0002_¹ %_x0010_A8äÐ_x001A__x0014__x000B__x000E_A_x000C_O©\_x000C_Á_x0017_Av3_x001C_Êë_x0012_A_x001C_3þ­´â_x0015_Arð·æê+_x0016_A¼ÈC9_x000F_½_x0013_AÞhö.õ_x0011_A_x0010__x000F_»}ùX_x0013_A_x0003_/h_x0001__x0002_¦_x0011_A¾mí°×È_x0012_Aøf&lt;Ðò_x0011_A¬*_x0014_"N_x000B_Aî_,á'_x0010_A&lt;ÛÂ_x0008_ø_x000E_AèTR^ü_x000E__x000F_A_x001E_akª&amp;_x0004__x0010_A_x001A_Z'Ð_x0017_Abñ´:W_x0010_A@Åb6ª_x0008_AÄÜgÃ¼_x0012_AÚ )Ñ_x0012__x0014_A_x001E_qá$õ	_x0002_AJàH³Ø_x0016_A&amp;µG³%_x0011_ANÇ_x001C_d_x0005_Ú_x0014_A_x001C_|·îFû_x0010_AVH_x000E_Þªí_x0019_A_x0008_p^_x0014_Aºs}r»_x001F__x0011_AìW Ó³_x000F_A ù¹G«c_x000E_AÌ°ªÂÈ_x0011_AðûðÈxQ_x0002_Að $W×_x000F_A"{Úê_x0012_Ar$ËÚ¢_x0016_Aj:cq_x0011_A¢ÜÏq¶_x0014_AGs _x000F__x0015_ATÁp~?S_x0012_A_x0002__x0003_`TÍ¾º4_x0012_AÐ[m_x000B_Bm_x0013_AÈýâ_x0012_A`¿'_x0011_¶_x0011_Aßi`QÄ_x0003_AlpÄÓ)o_x0010_A²f/._x0015_ALB_x000D_»Ð&gt;_x0013_A¼³èc«Q_x0011_A¼wAT#_x0013_AÜà]%Ó_x0011_AèRSýÑ_x0011_A²X_x0018_ø±_x0012_A´íT0#u_x0016_Añgzó_x0012_A|#_x0012_&amp;l=_x0010_AüåRs_x0005__x0011_A\Û7ä_x0013_A4éÊ_x0017_g&gt;_x0012_Atð¿ÔpË_x0012_AÜ_x0011_02{_x0011_AÈ_x0013_3ûIS_x0013_Aä1Pj1E_x0017_Aø*$5+s_x0011_A^_x0006__x0018_Í#_x0013_A¼Û"g,_x0012_A_x000E_:ê_x0016__x0012_5_x0012_A8_x000F_íÀ_x0001__x0011_AÐ%ùÁ6Ö_x000E_AÔèÑQ£æ_x0011_A0¾Ø_x0006_Ý¡_x000C_A_x0014_!e_x0001__x0003__x000F_µ_x0013_A$I_x0003_)_x0013_AÒyÍøÅ_x0014_A`_x0017_¬Ù_x0002_s_x000C_AF[|h¾_x0012_A¶Rg_x0017_ó_x0012_AÏ^¿_x0014_A´/}Óñ*_x0013_AÆQõ¿x_x0011_A _x001D_Ô_x0006_R_x0011_A_x0008_ù8D_x0008__x000D_AJ_x001A_ºÊRÇ_x0014_A¸fu_x0006__x0014_AÒÑ|_x0016__x0011__x0015_A4_x001A_N¶#&lt;_x0017_A_x0010_-óÚk_x0013_Aüé9Ã|Ñ_x0011_AÐ_x000C_"ÛêI_x000E_Aê_x000D_½¤0_x0010_A`¬úXr_x000D_AîÅ_x0010_^	e_x0011_Ax_x001A__x001C__x0017_¼¾_x000E_AtíaiæR_x0010_A|56DÃ×_x0013_A¬4_x0012_ÉùP_x0013_Aüj"UBÃ_x0013_A¦X«:"_x0010_AØ*_x0012_¸µ;_x000E_A¸sf±jÖ_x000E_A0­_x001E_eæ_x001C__x0014_AV·_x001D_!s9_x0016_Apê_x0006_Ù´+_x000D_A_x0001__x0003_ÖE,G_x0012_A¬LI_x0003_ÿ_x0015_AÊ3Î3_x0011_A..é9Zø_x0010_AYàs_x0016_AviT=|z_x0013_A@3AÍ&amp;ß_x0014_Aè_x0010_óY_x0010_Am½è_x0012_A,Hñ_x000C_õ_x000D_A¤_x0004_sN_x0012_q_x0014_AÐ&lt;9Êv_x000D_A_x0014_oMh8 _x0015_AÐ_x001C_WMæ©_x0014_A4Jº69_x0019_A_x0010_,uR_x0012_AÀF_x0019__x0002_¤©_x0013_AÚÜ_x0010_Üéô_x0011_AÂ§ç_x0001__x0016_Aí5¶_x0011_AøÅ _x0004_3_x0008__x0014_A&gt;qr_x0014_º_x0011_A,Êhï_x001F_W_x000F_A_x0001_ú_x000B_í_x0017_Ad\Ï©ù¸_x0014_A°(Û	÷_x0011_AP_x000C_ø½a_x0014_AÈÚmLº_x001A__x0014_AÔIc_x000B_qK_x000D_A[E*ÞW_x0011_ArQ¡§Pî_x0015_AÐßÈ_x0001__x0002_W_x0018__x0014_Ax+@0_x000C_Ap_x000B_Ù_x0006__x0013_A¦ßÊ_x0003_äÓ_x0011_A_x0004_è_x0002_þ¦Q_x0011_AK0¸%á_x000C_ADQ;.|â_x000B_A¤_x0007_ÒºÃ_x0012_A,5»É_x0013_Ù_x0012_A qðµ_x0013_à_x0013_AØ¹ä	_x0011__x0012_A_x0008_=Þ±_x0018_÷_x0014_AÊ4(é´_x0016_AÓ_x001F_Ðº²_x000C_A_x000C_©Yr_Ë_x0012_AÈ_x001D_Ù»ÎÙ_x000D_AÌ_x001B__x001B_ì._x0010_A4_x0019_¬Ëþ_x0016__x0014_Aü$qWô_x0012_A_x0001_"_x001E_¯_x000F_At¢îïÉ_x0007_Aò·sIÂ_x0011_AN!e2Îÿ_x0010_AprÐÚx_x0012_A_x001C__x0016_4/ú_x0016_A_x001E_Ì_x0011_2_x0014_è_x0012_A*Ý'}£_x0013_AJ9_x0005_M4Õ_x0014_A_x0001_Qz:_x000F_AgX_x000D_Ah	Î×:M_x000E_A¢PFÁes_x0010_A_x0005__x0006_èÞáÒ$Ø_x000E_An=_x0002_ñ{_x0010_A,Ò7_x0007_Øá_x000C_AV.u^_x0003__x000D__x0013_A_x0008__x0017_ãÖuS_x0014_AÊ¶ _x0006_]2_x0012_At_x001D_×yE_x000B_AR_x000F_÷ªsË_x0015_A(Ö;¿ñ_x0011_A_x0010_Hjn*q_x0013_Ap|¨Â_x0015_A@ö_x0019__x0012__x000B_A¢Â4zëj_x0012_Aðºí_x000B__x0013_A_x0008_Ê%^&lt;_x0015__x0013_AxÏ·ÓO_x0008__x0010_A\=È_x001A__x001E__x0013_AÈ¬c"Yz_x0010_A_x0008__x0019_lè_x001E_Ý_x0011_A&gt;_x0002_; _x0014_AÚt_x000C__x0004__x0011_A°!dsy_x0017_A_x0016_ÂÉ$Bb_x001C_A_x0008_WöN_x0002__x0004__x0014_Anæ_x000C_Î¤_x0013_AÜJç&amp;Âð_x0011_AÀ`_x0005_nw÷_x0012_A_x0002_°nÕc_x0014_AÆ£_x0013_Yà_x0011_AÈ_x0001_h&gt;ÕE_x0012_AðáîòßF_x0013_AÀ_x000F_4_x0002__x0005_Â÷_x0006_A»£ªii_x000B_A`Ûý[q_x000E__x0010_AD1§Îo_x0013_Ad¿Õ©/_x000E_A-jª-_x0015_A¼ÊZ_x000F_æí_x0013_Arai_x000F__x0012_ADøäø_x0012_A¨d°0ãù_x0013_Aô"oZ_x0004_±_x0014_AÔ! ôª_x000D_A2_x0001_àØ~_x0011_A__x0012_9,B_x0013_A_x0010_|\A-I_x0011_AÐèÚz¡_x001C__x0016_A0_x0004_à8*T_x0013_A$k{_x0008__x0019_N_x0013_A¼W_x0012_S&amp;_x0012_A¶eêÃØ_x0018__x0008_A_x000E_Õó5À§_x0007_A_x0008_¥²ÒÓ_x000C__x0011_A.$CV÷¼_x0016_A_x001C_ûCYÔ_x0011_A_x0014_[úD_x0013_Anþ_x000B_"À£_x0013_Aôó_x0002_á½_x000B_A_x0006_ö'X_x000C_&amp;_x0010_A_x0016_d&amp;Põó_x0013_Aéâ×û_x0003_AÞ¢ÏbÙR_x0012_A°¹_x0010_~_x0019_:_x001A_A_x0001__x0002_ÒLÀê_x0012_A_x0018_?ØÕt\_x000E_AX%_x001F__x000B__x0008_A_x0001_-ü,§º_x000C_Apoè}ñJ_x0011_A8»%B_x0004_Â_x0018_A&gt;~ÔÎ_x0012_A´2·i[_x001A__x0012_A¶ý[ ':_x0015_Aô_x0002_ü8=3_x0014_AÞ;·ÒÇp_x0011_AD&lt;B×5I_x0013_A_x0001_6î_x0010_AWJ¨­_x0012_A¬6×ð;_x0010_A_x0001_²PÕÉ_x000D_Aä]Ïèui_x0011_A@áhE¡4_x0011_Al _x001F_~p_x0012_A¦¡Ðin_x0013_A¨î_x0001_±ó_x0012_AÆçÍì_x0019_AÄì_x000F_¢¨_x000F_AD_x0006_é=-¨_x0011_AØ_x0016_½_x000F_0+_x0011_AjÞqzXÄ_x0010_AÄ3ú_x0008_#_x0013_AhÄñKj_x0015_AìÇ¹@ßü_x0010_Ab*Ìà±©_x0014_A\LbëR_x0016_A #}K_x0001__x0003_n)_x0011_A^ê	f¢_x0012_AîR¶ca=_x0012_AÞ_x0002__x001B_¤_x0016_At"_x0012_Âþø_x000C_A@ÖíÙÄþ_x0010_A/1Üv_x0013_Aì-A$_x0015__x001A_A$Bô|ß_x0011_AàL¡¿ø_x000D__x000F_A´¤ù²_x0002_&gt;_x0013_AúFmí§_x0014_AôåO6äé_x000D_A_x0003_ì_÷ã_x000D_Aú¶_x0011_ýH_x0016_A|®ß³:_x0013_A¶Æc6ò_x0010_AÌ_x0016_rf4Î_x0015_A_x000C_¤£'\_x0017_A$'ÕØ_x0007__x0018_A®_x001E__x000D_ÂÆW_x0013_AÆeæ_x000B_:_x0011_A¨G[Gê_x0012__x0016_A¬_x0012_ÑÐßì_x0014_A_x0003_Se²§³_x0013_Aä,Ñ¼Ò_x0014_Aö&amp;ëa«&lt;_x0012_A_x0008_ð_x000B_&lt;è_x001A_AÈëlÇfÚ_x0012_AD7_x0007_þ¨5_x000E_AP×k_x000E_A4EÈè_x000D_A_x0001__x0002_úíxå	ADrCôQ_x0011_AÊ	_x000F_WY_x0011_A m;6jâ_x0011_A¤ðÛø`8_x0011_A¯_x0007_Q_x000B_A&lt;þM_x000B_]N_x000C_Al.±z_x0018__x000C_AHylb}_x0010_A_x0018_Pa¢!_x000E_ADðäP_x0015__x0019_A_x0004__x0011_xý_x0013_o_x0011_A2'°_x0015_Ó_x0014_AÒ¨:m¹_x001D__x000B_A_x0018__x0002_y×0ü_x0011_ATµüL8_x0013_Ap,}Ã)_x0013__x0012_ARíºP¼_x0013_Aæþ#O_x0013_AÃ#RMa_x000C_A&lt;[ÞLgk_x0013_AÈ÷õÜ_x001A__x0014_A_x001C_ûóºn_x0010_AB0HÔ_x0008__x0018_AÄ+Å_x0010_4Ë_x0013_Aèn_x0015_|L_x000F_A¤0\?j_x0014_AFb_x001C__x0012_AØ|}MÀ_x000C_AVXªÔ_x0013_A~3hnÙ_x0011_Az	{Ã_x0004__x0005_jî_x0013_AD_x0001__x000E_°$_x0011_A_x000E_¸4ô'_x0010_A_x0005_dÍç_x001F_G_x0011_A_x0018_Ðp]_x0012_A¨×b_x001C_Q_x000E_AÂ#TV_x0011_Aö&amp;*_x0003_Ú_x0012_Al*xõ_x0012_AÔ+_x0012_áé_x0010__x0014_A õ¬î,_x0012_A.»_x0002_Z_x000E_AØAò8_x0011__x0019_AÂf-/Ýî_x0015_AØeq4×_x0011_A¨ÃþÀuN_x0013_AÖu¤åT_x0011_A_x0010_F¬_x0012_A¬' _x0019_	F_x0010_AtfG¹ù,_x0015_A¼_x0008_·y0Ö_x0010_Aê.R¤a_x0012_A_x0006_òw|À_x0011_A&lt;_x0017_a_x0004__x0003_Ü_x0010_Adæ@F¥L_x0013_Aê½]&amp;S_x0016_A_x0014_x±_x0017_A ñþúá/_x000D_A_x0010_w	5´;_x0014_Ar&lt;üÕ9_x0012_A &lt;F_x001A_A _x0017__x0004_ë_x0013_A_x0001__x0003_®jöµ_x0014_AüµÖZËì_x0011_Aèô_x0010_&lt;s?_x0015_A¸âbÆ½_x0012_AàRUwÑ&lt;_x0011_AVq0_x001C__x0006_ _x0013_Aø=_x001D_±(ä_x000E_A4%Ï®7A_x0014_AHx_x0006_Åï_x000B_AÔDÏsòó_x0015_Adg_x0014_{_x0014_AèaÆ_x0016__x0015_A_x001E_è_x0008_°S_x001C__x0011_A&lt;cµí½_x000F_A_x0008_NS½_x000E_AÚ{Q¸÷ú_x0012_A0_x0003_Qío_x0013_A,_x001F__x0002_J³M_x0013_A°	_x000F_?!K_x0012_A_x000C_l&lt;Cu_x0011_A_x0006__x0010_ë^º_x0012_Aî$»o©_x0013_A°QK~&gt;_x0014_AË\Û_x000D_è_x0014_A §ÏwÍ±_x0012_A ôÖO©§_x0012_At_x0011_5µE]_x000F_AXÝ&lt;jö¥_x0015_AXv¯ ä_x0002__x0014_Aé¶±þ_x0016_A_x001E_cØ c_x0013_A_x0004_{_x0008__x0012__x0002__x0003_õ"_x0014_AÄ4_x001A_A2_x0013_A_x0004_&lt;_x0016_ÍzL_x0011_ATïá@_x0013_Ayjzö_x0011_Aþ,±]_x000C_ã_x0014_A¶çó\FÆ_x0010_A_x0019__x001D_ª_x0019__x001B__x0018_A@Ï:èD_x001F__x000F_AlÕVB_x0010_AÜ'éÉàf_x0011_A_x0003_Ï¥E_x0003_[_x0014_ApîH«Úá_x000D_A_x000F_hã¥Æ_x0017_A~ÄG_x000E_*_x0010_A®W½§fé_x0006_ApÄ_x001B_`¥_x000F_A_x001C_&gt;èßk·_x0011_AÄÏoË,_x000E_AÜ|¬Ó®&amp;_x0012_Aîì_x0001_c±_x001F__x0012_AâÚH¾#_x0015_A?¢_x0007__x000D_A:Zî_x001B_ùµ_x0016_Ad_x0003_ßWø_x0015_A_x0014_×_x0018_G0´_x0014_AÄ¹@õÂ_x0014_A² ¦ã$_x0014_Ap_x0003_ÚyÐ_x000E_A¼Ý£¨àI_x0014_A(£]R_x0004_L	Aâõ¸_x001A__x0011_A_x0001__x0004_ÛÀW_x0011_Á_x0015_AHòáý-_x0010_A@¤Äé_x001D_ä_x0012_ADøAåÃr_x0014_ATA_x0016_Í+_x0011_A°UzêÝ¿_x0018_Aì¯Ê¶=±_x000B_A_x0010_:k·_x0006__x000F_A_x0004_çM&gt;­_x0006_AÌaY_x0017_óÿ_x000F_A¸_x0017__x001E_ì_x0016_A2X{i_x0015_AÛ Èô_x0014_A¼x*Ã´î_x0013_A,íó°8ã_x0010_A0_x0007_Þ©QR_x000F_AàMY_x000E_6_x0015_A®¯,_x0013_®_x0011_AdüÐðÊÖ_x0011_A_x001C__x0015_)éds_x0010_A´ÍDC¿_x0014_A8_x0003__x001D_·ÓT_x0016_A_x0014__x001D_b	Ò'_x0019_A ;[çÃ	A@!ýÈ	A;qxsÆ_x000D_Aj§¤_x0013_}_x000C__x0017_ATøìL_x0002__x0010_AìEÚcS_x0012_A_x0008_Ku¹A_x000F_AÔUÌ_x001F_Ê_x0012_A 9¥_x0002__x0004__x0008__x0010__x0018_A6$_x0001_#¡Ò_x0014_A,ÙbÝ5Ý_x0012_A´8åJ_x0006__x0010_A_x000C_f(ið_x0010_AØ+tÉo_x000E_Axt _x000F_Ü_x000E_A_x0015_J¦ _x0016_AÈÈ=_x0001_Ô_x000F_AB_x0011_'»)w_x0013_Alow6t?_x0017_A¶_x0007_ùGHh_x0013_A_x0008_öôö_x000C_]_x0015_AFñ^_x0013__x000E_Ú_x0010_A¸'§á_x0012_A¬¹ö_x0010_AôÆ9½_x0018__x000E_ABÞ½_x0006_s_x0010_Aª÷õ	_x0010_AfÒ´Q_x0006_o_x0012_AB5"?_x001D_½_x0012_AHf«q_x0004_AºIGBï_x0016_A¶Pm{4_x0011_AÆ°í)ÒU_x0015_A@!dÊò_x0003__x0012_AD;"ü_x0012_AèÔzòU_x0016__x0010_Að_x000C_j¨_x0014_AÀÐÁÝ_x0016__x0010_Ah3®ãª©_x0011_A$S°_x000D_¶_x0014_A_x0001__x0002_éÀ_x000B_b*_x000E_A_x001A_ïñd_x0013_AüK[mÿ§_x0016_A_x0006_1ðEO_x0010_A&lt;_x0008_|Þ_x000C__x0010_AÜ&lt;ì_x000C_~ù_x0019_A¸è·rèk_x0014_AMVS_x001C__x0013_A¨÷ÒÖ _x0013_A_x0001_PW_x0015_Sî_x000E_A,?äu&amp;_x0014_A¸C kb_x0015_Atjî_x001C__x0019_8_x0013_AÐ$)2m_x0010_Az¾Ë³_x0013_Av{¥ú_x000D__x0011_A¨ êà	£_x0010_A*smS±®_x0012_A ÀF_x000D_AØty÷_x000F__x000F_AP \bÄ_x0010_AH5_x001B_ê_x0011_A_x0006_ðEEàa_x001B_A¶6ú¿ä©_x0011_Atà©_x0018_._x0010_A6)_x0014_&gt;¸Ø_x0014_AUÏª_x0010_T_x0017_A_x0010_Ùé5[Â_x0010_AâOÿjö_x0012_A|ïülí_x0012_A¦üS_x0019_ò	AÄ_x001D_KE_x0005__x0006_®B_x0012_A¦_x001E_¢¿#H_x0004_A¸Hµì±¬_x0015_Aäj_N_x0016__x000E_A`_x000D_}T_x0011_A_x0001__x0005__x0005__x0005__x0012__x0005__x0005__x0005_Brunswick F19.xlsm_x0002__x0005__x0005__x0005__x0004__x0005__x0005__x0005_Data_x0004__x0005__x0005__x0005__x0003__x0005__x0005__x0005_B17_x0013__x0005__x0005__x0005_=RiskUniform(F5,H5)_x001F__x0005__x0005__x0005_Rental Income Growth Rate_x0001_A17_x0001__x0001__x0001__x0005__x0005__x0005__x0005__x0005__x0005__x0005__x0005__x0005__x0005__x0005__x0001__x0005__x0005__x0005__x0013__x0005__x0005__x0005__x0019__x0005__x0005__x0005_Rental Income Growth Rate_x0001__x0005__x0005__x0005__x0005__x0005__x0005__x0005__x0005__x0005__x0005__x0005__x0005__x0005__x0005__x0005__x0005__x0005__x0005__x0005__x0003__x0005__x0005__x0005_B18_x0015__x0005__x0005__x0005_=RiskTriang(F6,G6,H6)_x0013__x0005__x0005__x0005_V&amp;C _x0004__x0005_Allowance_x0001_A18_x0001__x0001__x0001__x0004__x0004__x0004__x0004__x0004__x0004__x0004__x0001__x0004__x0004__x0004__x0001__x0004__x0004__x0004__x0015__x0004__x0004__x0004__x000D__x0004__x0004__x0004_V&amp;C Allowance_x0001__x0004__x0004__x0004__x0004__x0004__x0004__x0004__x0004__x0004__x0004__x0004__x0004__x0004__x0004__x0004__x0004__x0004__x0004__x0004__x0003__x0004__x0004__x0004_B19_x0014__x0004__x0004__x0004_=RiskNormal(F10,G10)_x0018__x0004__x0004__x0004_Operating Expenses_x0001_A19_x0001__x0001__x0001__x0004__x0004__x0004__x0004__x0004__x0004__x0004__x0002__x0004__x0004__x0004__x0001__x0004__x0004__x0004__x0014__x0004__x0004__x0004__x0012__x0004__x0004__x0004_Operating Expenses_x0001__x0004__x0004__x0004__x0004__x0004__x0004__x0004__x0004__x0004__x0004__x0004__x0004__x0004__x0004__x0004__x0004__x0004__x0004__x0004__x0003__x0004__x0004__x0004_B21_x0015__x0004__x0004__x0004_=RiskTriang(F7,G7,H7) _x0004__x0004__x0004_Property Value Growth R_x0002__x0004_ate_x0001_A21_x0001__x0001__x0001__x0002__x0002__x0002__x0002__x0002__x0002__x0002__x0003__x0002__x0002__x0002__x0001__x0002__x0002__x0002__x0015__x0002__x0002__x0002__x001A__x0002__x0002__x0002_Property Value Growth Rate_x0001__x0002__x0002__x0002__x0002__x0002__x0002__x0002__x0002__x0002__x0002__x0002__x0002__x0002__x0002__x0002__x0002__x0002__x0002__x0002__x0005__x0002__x0002__x0002_Model_x0001__x0002__x0002__x0002__x0003__x0002__x0002__x0002_B20_x0019__x0002__x0002__x0002_=RiskOutput()+B17+B18-B19_x000F__x0002__x0002__x0002_Total NPV_x0001_A20_x0001__x0001__x0002__x0002__x0002__x0002__x0001__x0002__x0002__x0002__x0002__x0002__x0002__x0002__x0001__x0002__x0002__x0002__x000D__x0002__x0002__x0002__x0002__x0002__x0002__x0002_	_x0002__x0002__x0002_Total NPV_x0002__x0002__x0002__x0002__x0002__x0002__x0002__x0002__x0001__x0002_ÿÿÿÿÿÿÿÿÿÿÿÿÿÿÿÿÿÿÿÿÿÿÿÿÿÿÿÿÿÿÿÿÿÿÿÿÿÿÿÿÿÿ_x0002__x0002__x0002__x0002__x0002__x0002__x0001__x0002__x0002__x0002__x0005__x0002__x0002__x0002_Si_x0006__x0007_m#1_x0006__x0006__x0006__x0006__x0006__x0006__x0008__x0006__x0006__x0006_TZDL6JE6_x0001__x0006__x0006__x0006__x0005__x0006__x0006__x0006__x0003__x0006__x0006_ð_x0006__x0006__x0001__x0006__x0006_=_x0006__x0006__x0006_FH5TAPWL1T1IKDB79WAMSN6V_x0006__x0006__x0006_ÿÿÿÿ_x0006__x0006_ÿÿÿÿ_x0006__x0006_ÿÿÿÿ_x0006__x0006_ÿÿÿÿ_x0006__x0006_ÿÿ_x0010_'_x0006__x0006_õ_x0002__x0006__x0006__x0006__x0001__x0006__x0006__x0010__x0001__x0006__x0006__x0006__x0006__x0012__x0006__x0006_Brunswick F19.xlsm_x0018__x0006__x0006__x0006_FH5TAPWL1T1IKDB79WAMSN6V_x0002__x0006__x0006__x0006__x0006__x0004__x0006__x0006_Data_x0004__x0006__x0006__x0006__x0006__x0010__x0006__x0006__x0006__x0001__x0006__x0013__x0006__x0006_=RiskUniform(F5,H5)_x001F__x0006__x0006_Rental Income Growth Rate_x0001_A17_x0001__x0001__x0006__x0001__x0006__x0006__x0006__x0003__x0004__x0003__x0003__x0003__x0003__x0003__x0001__x0003__x0003__x0003__x0013__x0003__x0003__x0003__x0003__x0003__x0003__x0001__x0003_ÿÿÿÿ_x0003__x0003__x0003__x0003__x0003__x0003__x0003__x0003__x0003__x0003__x0003__x0003__x0003__x0003__x0003__x0003__x0003__x0011__x0003__x0003__x0003__x0001__x0003__x0015__x0003__x0003_=RiskTriang(F6,G6,H6)_x0013__x0003__x0003_V&amp;C Allowance_x0001_A18_x0001__x0001__x0003__x0001__x0003__x0003__x0003__x0003__x0001__x0003__x0003__x0003__x0001__x0003__x0003__x0003__x0015__x0003__x0003__x0003__x0003__x0003__x0003__x0001__x0003_ÿÿÿÿ_x0003__x0003__x0003__x0003__x0003__x0003__x0003__x0003__x0003__x0003__x0003__x0003__x0003__x0003__x0003__x0003__x0003__x0012__x0003__x0003__x0003__x0001__x0003__x0014__x0003__x0003_=RiskNormal(F10,G10)_x0018__x0003__x0003_Operating Expenses_x0001_A19_x0001__x0001__x0003__x0001__x0003__x0003__x0003__x0003__x0002__x0003__x0003__x0003__x0001__x0003__x0003__x0003__x0014__x0003__x0003__x0003__x0003__x0003__x0003__x0001__x0003_ÿÿÿÿ_x0003__x0003__x0003__x0003__x0003__x0003__x0003__x0003__x0003__x0003__x0003__x0003__x0003__x0003__x0003__x0002__x0004__x0002__x0002__x0014__x0002__x0002__x0002__x0001__x0002__x0015__x0002__x0002_=RiskTriang(F7,G7,H7) _x0002__x0002_Property Value Growth Rate_x0001_A21_x0001__x0001__x0002__x0001__x0002__x0002__x0002__x0002__x0003__x0002__x0002__x0002__x0001__x0002__x0002__x0002__x0015__x0002__x0002__x0002__x0002__x0002__x0002__x0001__x0002_ÿÿÿÿ_x0002__x0002__x0002__x0002__x0002__x0002__x0002__x0002__x0002__x0002__x0002__x0002__x0002__x0002__x0002__x0002__x0002__x0005__x0002__x0002_Model_x0001__x0002__x0002__x0002__x0002__x0013__x0002__x0002__x0002__x0001__x0002__x0019__x0002__x0002_=RiskOutput()+B17+B18-B19_x000F__x0002__x0002_Total NPV_x0001_A20_x0001__x0001__x0002__x0002__x0002__x0002__x0002__x0001__x0002__x0002__x0002__x0002__x0002__x0002__x0002__x0002__x0001__x0002__x0002__x0002__x000D__x0002__x0002__x0002__x0002__x0002__x0002__x0002__x0002__x0002__x0002__x0002__x0002__x0002__x0002__x0002__x0001_ÿÿÿÿÿÿÿÿÿÿÿÿÿÿÿÿÿÿÿÿÿÿÿÿÿÿÿÿÿ_x0005__x0006_ÿÿÿÿÿÿÿÿÿÿÿÿÿ_x0005_ÿÿ_x0004__x0005__x0005__x0005__x0005__x0005__x0005__x0005__x0001__x0005__x0005__x0005__x0005__x0005__x0005__x0005__x0004__x0005__x0005__x0005__x0005__x0005__x0005__x0005__x0005__x0005__x0005__x0005__x0005__x0005__x0005__x0005__x0005__x0005__x0001__x0005__x0005__x0005__x0005__x0005__x0005__x0005__x0005__x0005__x0002__x0005__x0005__x0005__x0005__x0005__x0005__x0005__x0005__x0005__x0003__x0005__x0005__x0005__x0005__x0005__x0001__x0005__x0005__x0005__x0005__x0005__x0001__x0005__x0005__x0005__x0005__x0005__x0005__x0005__x0005__x0005__x0005__x0005__x0005__x0005__x0005__x0005__x0012_'_x0005__x0005_,_x0005__x0005__x0005_ÿÿÿÿÿÿÿÿÿÿÿÿÿÿÿÿÿÿÿÿÿÿÿÿÿÿÿÿÿÿÿÿ_x0005__x0005__x0005__x0005_ N_x0005__x0005_ _x0005__x0005__x0005__x0005__x0005__x0005__x0005__x0005__x0005__x0005__x0005__x0005__x0005__x0005__x0005__x0005__x0005__x0005__x0005__x0005__x0005__x0005__x0005__x0005__x0005__x0005__x0005__x0011_'_x0005__x0005__x000C__x0005__x0005__x0005__x0001__x0005__x0005__x0005__x0013_'_x0005__x0005__x0010__x0005__x0005__x0005__x0001__x0005__x0005__x0005__x0001__x0005__x0005__x0005__x0001__x0005__x0005_ÿÿÿÿ</t>
  </si>
  <si>
    <t>&gt;75%</t>
  </si>
  <si>
    <t>&lt;25%</t>
  </si>
  <si>
    <t>&gt;90%</t>
  </si>
  <si>
    <t>962359613126ef9c87da2bf66ef56fd9_x0004__x0005_ÐÏ_x0011_à¡±_x001A_á_x0004__x0004__x0004__x0004__x0004__x0004__x0004__x0004__x0004__x0004__x0004__x0004__x0004__x0004__x0004__x0004_&gt;_x0004__x0003__x0004_þÿ	_x0004__x0006__x0004__x0004__x0004__x0004__x0004__x0004__x0004__x0004__x0004__x0004__x0004__x0001__x0004__x0004__x0004__x0001__x0004__x0004__x0004__x0004__x0004__x0004__x0004__x0004__x0010__x0004__x0004__x0002__x0004__x0004__x0004__x0001__x0004__x0004__x0004_þÿÿÿ_x0004__x0004__x0004__x0004__x0004__x0004__x0004__x0004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ýÿÿÿþÿÿÿþÿÿÿ_x0014__x0001__x0001__x0001__x0005__x0001__x0001__x0001__x0006__x0001__x0001__x0001__x0007__x0001__x0001__x0001__x0008__x0001__x0001__x0001_	_x0001__x0001__x0001__x0002__x0001__x0001__x0001__x000B__x0001__x0001__x0001__x000C__x0001__x0001__x0001__x000D__x0001__x0001__x0001__x000E__x0001__x0001__x0001__x000F__x0001__x0001__x0001__x0010__x0001__x0001__x0001__x0011__x0001__x0001__x0001__x0012__x0001__x0001__x0001__x0013__x0001__x0001__x0001__x0003__x0001__x0001__x0001__x0015__x0001__x0001__x0001__x0016__x0001__x0001__x0001__x0017__x0001__x0001__x0001__x0018__x0001__x0001__x0001__x0019__x0001__x0001__x0001__x001A__x0001__x0001__x0001__x001B__x0001__x0001__x0001__x001C__x0001__x0001__x0001__x001D__x0001__x0001__x0001__x001E__x0001__x0001__x0001__x001F__x0001__x0001__x0001_ _x0001__x0001__x0001_!_x0001__x0001__x0001_"_x0001__x0001__x0001_#_x0001__x0001__x0001_$_x0001__x0001__x0001_%_x0001__x0001__x0001_&amp;_x0001__x0001__x0001_'_x0001__x0001__x0001_(_x0001__x0001__x0001_)_x0001__x0001__x0001_*_x0001__x0001__x0001_+_x0001__x0001__x0001_,_x0001__x0001__x0001_-_x0001__x0001__x0001_._x0001__x0001__x0001_/_x0001__x0001__x0001_0_x0001__x0001__x0001_1_x0001__x0001__x0001_2_x0001__x0001__x0001_3_x0001__x0001__x0001_4_x0001__x0001__x0001_5_x0001__x0001__x0001_6_x0001__x0001__x0001_7_x0001__x0001__x0001_8_x0001__x0001__x0001_9_x0001__x0001__x0001_:_x0001__x0001__x0001_;_x0001__x0001__x0001_&lt;_x0001__x0001__x0001_=_x0001__x0001__x0001__x0001__x0002_&gt;_x0001__x0001__x0001_?_x0001__x0001__x0001_@_x0001__x0001__x0001_A_x0001__x0001__x0001_B_x0001__x0001__x0001_C_x0001__x0001__x0001_D_x0001__x0001__x0001_E_x0001__x0001__x0001_F_x0001__x0001__x0001_G_x0001__x0001__x0001_H_x0001__x0001__x0001_I_x0001__x0001__x0001_J_x0001__x0001__x0001_K_x0001__x0001__x0001_L_x0001__x0001__x0001_M_x0001__x0001__x0001_N_x0001__x0001__x0001_O_x0001__x0001__x0001_P_x0001__x0001__x0001_Q_x0001__x0001__x0001_R_x0001__x0001__x0001_S_x0001__x0001__x0001_T_x0001__x0001__x0001_þ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0003__x0004_ÿÿÿÿÿÿÿÿÿÿÿÿÿÿÿÿR_x0003_o_x0003_o_x0003_t_x0003_ _x0003_E_x0003_n_x0003_t_x0003_r_x0003_y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0016__x0003__x0005__x0003_ÿÿÿÿÿÿÿÿ_x0001__x0003__x0003__x0003__x0003__x0003__x0003__x0003__x0003__x0003__x0003__x0003__x0003__x0003__x0003__x0003__x0003__x0003__x0003__x0003__x0003__x0003__x0003__x0003__x0003__x0003__x0003__x0003__x0003__x0003__x0003__x0003_ H#¼¬Õ_x0001_þÿÿÿ_x0003__x0003__x0003__x0003__x0003__x0003__x0003__x0003_R_x0003_S_x0003_K_x0003_L_x0003_I_x0003_B_x0003_ _x0003_D_x0003_a_x0003_t_x0003_a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0003__x0018__x0003__x0002__x0001_ÿÿÿÿÿÿÿÿÿÿÿÿ_x0003__x0003__x0003__x0003__x0003__x0003__x0003__x0003__x0003__x0003__x0003__x0003__x0003__x0003__x0003__x0003__x0003__x0003__x0003__x0003__x0003__x0003__x0003__x0003__x0003__x0003__x0003__x0003__x0001__x0002__x0001__x0001__x0001__x0001__x0001__x0001__x0001__x0001__x0004__x0001__x0001__x0001__x001E_£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ÿÿÿÿÿÿÿÿÿÿÿÿ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_x0001_ÿÿÿÿÿÿÿÿÿÿÿÿ_x0001__x0001__x0001__x0001__x0001__x0001__x0001__x0001__x0001__x0001__x0001__x0001__x0001__x0001__x0001__x0001__x0001__x0001__x0001__x0001__x0001__x0001__x0001__x0001__x0001__x0002__x0001__x0001__x0001__x0001__x0001__x0001__x0001__x0001__x0001__x0001__x0001__x0001__x0001__x0001__x0001__x0001__x0001__x0001__x0001__x0001__x0001__x0001__x0001__x0001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0002_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ÿ_x0001__x0003_ÿÿÿÿÿÿÿÿÿÿÿÿÿÿÿÿÿÿÿÿÿÿÿÿÿÿÿÿÿÿÿÿNÞ,6©¤?¨X¶¼T¦?	 WÏî_x0016_§?(b&gt;²&amp;#«?"C×»É£?¾:¶Zå¬§?|®&amp;S_x000E_q­?X pº¤§?m§Ûö¦?¦K·4ä¦?ô´!{ö3¦?VÌôS¾¯§?uMÓÌ0h±?.B«àë¨?nèð_x001B_V®?+[rKø¸?ä"£E¦? f_x0019_~Ë¢?^.V.âæ?_x0002_Æ_x0003_ËR¤?¤DË8 ?F_x0012_ÊÅ_x0018_?ò(£Å_x001B_?)½ßF¡?deI|_x0002_§?_x0018_ßÝÓ0»¥?_x000C_g v¼_x0002_?R)K_x0001__x0002__x0003_ÈÑ¦?úìlú8¤?hæ¨NÐ¢?Ó_x001F_Æø£©¡?$b_x001F_ô_x0013_«?ý4j_x0008_g®?¨ì_x0011_R_x0003_`ª?fô_x0010_¸_x0001__x0014_¢?_x0006__x0019_%_x0005_õ¢¦?vÿª¥?_x001E_¡:å/®?àuÏÉHý?ÿ¦_x001C_Q¯?¼(Ç_x0005_ê£?X_x0010_ù1²ü®?ðSà½­?¬Çeúä¢?d´Ëc2§?3_×¤Y­?ñê_x0014_õ_x0018_}§?ì_x0001_A_x0003__x001D_®?õi$3P°?_x0015__x001A_GÖ+¿§?°þ¤â8`¬?þ©_x001D_Ãío£?_x0003_ëj¹w¤?¦Ã_x001E_¢Fß¤?_x0010_¥_x001E_^Ó¤?Ìè¿á°­?ÜÀWSI¬?~__x0004_©©?Þþ§ªpX¥?_x0006__x0008_h{Ë_x0014_?_x001E_DÅüÓ¬?fü~o\¥?B_x001A_LR¢I£?E{ÂbC?_x0001__x0006__x0006_$âê]fâê]_x0001__x0006__x0006__x0006__x0001__x0006__x0006__x0006_è_x0003__x0006__x0006_è_x0003__x0006__x0006_è_x0003__x0006__x0006__x0003__x0006__x0006__x0006__x0002__x0006__x0006__x0006__x0004__x0006__x0006__x0006__x0006__x0006__x0006__x0006__x0004__x0006__x0006__x0006__x0001__x0006__x0006__x0006__x0001__x0006__x0006__x0006__x0001__x0006__x0006__x0006__x0006__x0006__x0006__x0006__x0006__x0006__x0006__x0006_ºþ¡ðy8 ?_x001D_?_x0002_Î_x0001__?$óè?RóIÿ»?ò_x0013_ðÛqD ?(B¬¥I_x0014_¨?Ç±_x0016_â ©?	_l_x0005_öP?.OK_x000B_.L«?_x0014_ymR½¥?_x000B_êÙ]î«?}ëU)?X_x0006_´%?8³Û=_x0007_?_x0008_;_x000D__x0016__x001C_p£?_x000D_qÅÙ6?_x0004_ú[Áõg?p!­_x0019__x0001__x0004_z_x0006_«?ÂÇÎ_x000E__x0010_?Càqlå¬ª?ÎØ%Å©?_x001C_¢ j?_x001D_RÁlD¥?N`ÔRêä ?3òc.ª?4è_x0004_±G½?µ¤··kIª?å¢! ^Ô¥?ë_x0002_ìÇª?zÚø_x001E_§?&amp;µI,?_x0003_jðs_x001A_K©?Eù'*6r?²µa~~+£?Nûr¼¢5¨?R_x0006_ú{a_x0012_£?ÎoÿQ/?Ûå$£?øYC_x0003_P£?¼òúb]?*Ïb%/?jUº§&lt;È?$\_x001B_þ_x0018_¤?«ñiW£?â¢$ªÉb¥?¨_x0006_À_x0002_¤?¬3^ûÂ_x0005_?»µc_x000C_Ýl¢?½²Pñ»¦?_x0003__x0004_W_x0019_iÛçÜ?$_x000F_}G½#«?·Ü%ò¯U?úÊè%ð¥ª?Ê§¥7|?]_x0018_P+Ý=?P.¶?°å]üz?Ø8Üëú¨?_x0001_µe_x0013__x0010_	¨?uà_x0013_þ?nsâÈ½E?ý½%2_x0019_Ñ§?fv&gt;[¥?³H_x000B_äÈ?â_x0006_ûm£?ý^¦Z_x0004_§?t¼J!qb©?.Ç9Ì_x0002_?­ºj¤?¼Ø_x0004_òP~?h(y0Î³©?Fg}ªj²?¶ég£?C_x0005_8ÎD£?¬Ê@tûÖ?FªUÇN¨?_x000D_Õ^_x0011_ô?àÉrÐ£?ºóÖ=ä?_x000E_Í.÷¦?ZÀ{._x0001__x0002_S2 ?PkC_x000C_¨&gt;¢?Ö`fBÒ¢?_x0012_0ºt?¬ÕÏÎX¥?*_x001E_jm©?aÍBg?^ZÃê]_x000E_¨?(÷¹Kÿ?-´þ§?0¢õ}¨?Qµ_x0012_Ü¤«?	£xh_x0011_v¢?_x001B__x000B_MÈ_x000D_Ù?zp._x0007_BW©?Ð_x0007_]îº ?äÒçÓ?áñÁ_x001B_±?lÀMÏç?¾Î~Tg÷?ÜhmGT«?Z@Zç_x0006_4¡?³_x0019_øy²?În~ë_x001F_¨?Õ_x001E_n_x001F_Ç_x0001_©?ê3SF_x000F_&lt;?ÚÜwAa_x0012_¡?TwÒ¥w?2Èex¡?% °=5ª?_x0001_Ø=VßX¤?Ãuò*_x0013_)«?_x0002__x0005__x0004_èÜrR?è)Òg!;ª?Óõ(eMª?÷p¬	Â@?¹¨]wt¨?_x0012__x0001_àõ¢?Tb_x001D_@Z ?Z¯_x001E_¼\¦?_x0002_ü2i¶?W§(Vô ?Ù)1ñ}£?¬ j@	j ?Úáï÷Ýª?[þf:zñ?Åx_x0002__x001D_¤?Ã°+6ï_x000D_¦?Z8&gt;@ý¦?p_x0018_ñ7O¢?_x001D_¥(_x0001_¦h¨?êÇà£?ÓTärvî ?l,XâI«?_x0012_§_x001A_i*`¥?Fµt_x0012_ôÁ¡?ÿ¨ÿ?ç_x0015_×«?_x0006_}¤â#§?_x0005__x000D_¥6_x0003_¢?_x001D__x0019_LqL?ðQ_x001B_:Âs¥?äi¿Icà¤?Çê_x0001__x0002_Ã¯¨?râ ? a¿Þ_x0015_5©?òuxM_x0004_§? ±z`å_x001C_?¾\nCí¦?¼¹µ2?ÞÛü¼~¥?x	_x001F_ÚEÝ?D 5CÕ?¥+Ó#¦?¬ì%#è?b©èAýI?@é_x0012_ç_x0006_§?¾_x0010_"/À¤?yu¢ý7_x0002_«?b(_x000C_OÉ¨?ÉF¡_x001B_¤?¢a_x0013__x001B_¬Ì¡?r_x0018_r_x000D__x0015_¢?wä1©¯§?Õ¬G£?ãþ±4Ñ}¢?¤ú×Y;?üÿéhDU©?ñH¬;à?·B_x000C_Ô_x0017_À?Rñ®$¦?þRè_x0004_·?â_x0017_ä_x0007_Ò?æ+zâ	ª?¬6½²ß»?_x0001__x0002__x001B__x001C_ _x0001_ê_x0006_?_x0018_\µìö_x000B_¡?{_x001B_Á*_x0013_?ò_x0008_«·@?OÔgå¾§?Â_x001C_Ûk&amp; ?î'Ôu1ï¡?öÞÀ$1a£?³¤w¹_x000B_©?°ß_x0012_ý¶_x001C_«?©¿9_x0012_ñ«?_x0002_ÒD\És?;¸¼×Õ?_x0005_Xö1¤ª?_x000B__x0003_fe¢@ ?v_x0017_ðÀ_x001F_?ö'ù_x001D_Ü??Ñy}õó§?"¤m_x0008_?§?ÞÔ¡Ø¯?Ü¸lï_x0003_ ?ñ_x001A_(¶¤?þû_x0005_û_x0001_p?ÙQ\]ã?¼±!È|t?ÿ_oÈß©?Ç¢'à_x0004_Ñ ?äà	X_x001A_¨¥?hmæª?s_x000B_Ë]?]yÿïÉÇ¥?¤_x0018_à_x0001__x0005_v` ?_x0010__x000C_H;º¤?¸_x0017_C¬,(?A§:8_x000D_å?:_x001C_"¹ù?°ñêþlí§?ì1vÝë_x001D_¢?Ò_x000F_?èN§¤?_x001C_nËÞ.«?ëàm)£?ææÇÀ^_x0016_©?­¸_x0007__x0002__x0003_?Te]V ?s#t_¨_x0004_?~BwÝÝ?ü&lt;£¿÷§?w_x0002_âwÚ¤?Äh­Ã?Lì*8§?ÞÃ_x0012_&amp;j?L\_x0010_#Ìó¢?_x001A_:_x0004__x001C_C¢?(SS_x001F_¤?"ùDt0¦?E&amp;R¿??Dì¼{_x0001_s¡?ö_x0002_jæä_x000E_ ?-q_x001C_p4j? L_x0008_|_x001F_×?_x0005_Gs¬µ?Ð_x0006_6?4h_x001B_o_x000B_?_x0003_	Ö_x0008_y_x0017_ËC?RçÓ&lt;U_x0007_¥?´fÊ¬_x0006_¬?âI_x001B_å¾ü?=©Fçúßª?kïw_x0011_úØ ?¦ÌÔZGÏ?VÀ×6Ì?$P´+?º[s_x0004_©?&amp;_x0001_ÇÏ_x0003_¢?^É_x001B_ ?.o¸?f+ÉK¡?(bPá?JZÒfg§?¨¬_x0015_'GH?_x000D_Â8(Á*¢?¥_x0003_:¨ú ?àQhvü¨?¸V¦8]ô?N_x0014_^¡?d¤ô/_x0019_"?þçB¸Ë_x0002_«?3ägPg_x0011_ª?Õ_x0010_gZ±¥?nÀ£_x0011_¤?íÍAÖ_x0007_]¨?I,o&lt;]¤?_x000F_ë_x0005_x©?V¦Û9Ã°?àÕ§1_x0003__x0004_Âï£?Ö¡^Fê?a_x001D_®p¨?&gt;_x0015_ò0PÓ?Ö[Û=×?Òâ­È?F³ÈA??#Ä-ßúxª?Ã£õ/Â¨?X:ÈpÉs¦?dÆÌ_x001A_]Ö?_x0001_7_x000F_LøÈ?Ö_x0002_4én`?Þ%bB8¸£?ÜÝÑ_x000F_b_?e®ÖrZ«?÷Á_x001B_ò3?_x000D_ÆønÁÞ ?_x0008_eÞgÉx¤?Ì_¦²'ª?ê_x0006_&amp;}?À$:ÜFp ?A9_x0006_tIW?ï®_x001C_é¼¡?Ü_x0018_	­?_x001C_¤­{#?_x0017_à¯Ãþ"¥?6ôºY{ÿ©?tòF·ÔÞ?ç_x0002_&amp;i¬©?È¤¬»µ?_x000C_õÓ	ð¨?_x0002__x0003_»«.Lv? G@:ï?_x0004__x0004_N5 j?Æ_x0004_íJ6( ?¶5^a¾²?êèa_x0013_a¨¡?_x0018_miâ¸0?lnçÌè?F*böQå©?pû!²ªÃ?Òõê©?Å­g£Õ¡?É_x001E_ÞV~U?_x0001_Ì÷÷_x000E_?ú_x0013_0â3?_x001C__x0011__x0010_O?ý'+IÖ_x001F_?¬h	`Â?ì_x0015__x0018_Ø?bÔ³Ï¿Þ¦?¾±£º¥?m½¼ÓØï?Áó¯Ööô?ËX¹Í3¡?s&gt;;­¢?__x000F__x0006_5s?_x0012_®çJU~?êÿ÷¢¿è ?:_x001D__x0016_ÐÆÍ¥?.9Ð_x000D_ä_x0006_¦?Rµ_x0016_f_#?®ï£_x0003__x0006_5¥?ªsÑ­¨?Î_x0002__x001D__x0010_£?¬Ù_x0015__x000D_+ç¥?VË6í&lt;¤?¾¼_x0014_¡?ÍËã=^K¢?®ÅV%x§?6ä_x0004__x0019_Äû¤?_x0018_­R,ª?ÆÈgæ_x001C_ª?N¡·fç_x0015_?¤EÞöÜ=?Þ _x0019_ò?_x0008_ºÿj¦?¤òTyä?&amp;ó0_x0006_#¨?i_x0005_3(ï¯«?n_x0013_v¢?H·6z#_x0013_¤?XÚi½__x0001_?õóî¾L3¨?mfpIn«?5»¬oæ1?J[¸_x0010_?2àFû¡?Zzî¼º ©?dþæ»åÄ ?T53å?ÓÀLV?2VÛç¨?­_x001B_"Â",?_x0002__x0004_e`¨Ç¥©?ÒxÑ¢?$rÊè¬?_x001C_É¨}_x001D_¸¡?À_x0004_´â:n?uöRïR_x0011_¦?_x0001__x0006_ú_x000F_	?±ó1þ_x000D_«?_x0008_sÒ÷Vù?9Ðö» ?D|Ù_x0001_Ék«?^_x0007_HÙÈ»?Å_x0006_#?_x0006__x0004__x000F_rß?ì¾_x0017_¦_x0003_¬?OÜW_x0014_¼?¾é¨°F5?]]õ_x0001_D¡?ÖZA&lt;?ìLÊ:ü?8ñu½JU?Ü7&lt;}mÙ?«á½&lt;Å_x0017_£?_x0014__x000D_)ãðx?àa~_x001F_TÃ¥?^;Ã_x0001_££?È_x000C_Û_x0005_V¢?ÊRÅÀ_x0008_Ý?â¯&gt;_x0015_?Ô¿c_x0014_È?Ëå$&amp;Ù£?îÙnÆ_x0006__x0007_{¤?_x0004_`Q£ê¥?_x0004_Õ­L}_«?V_x0014_,_x000B_K?61ÉW@Ì©?+ØZoûÍ?_x0002_BdURØ?{ë_x0019_Îµ?ÖSB¬¤ ?_x0008_½÷_x0016__x0003_?øÉ ½×_x0001_©?)ãhÞ6 ?EÜº$Am?_x0004_W_x0005_²_x0001_;?®s)¾_x0011_?~!c ª_x0003_£?Î +',#¦?lI_x0013__x0007__x0006_¥?à_x0019_Ì?à_x0019_çv_x001E_M¦?6&amp;Þ¥_x0017_l¥?ûz/_x000E_}ûª?4÷S!JF§?&lt;:^{½1?¬³:_x0017__x0007_ ?	ÑM±,_x0010_?J¶)tU?0M'¬Ó©?_x0016_È_x0017_óK_x0019_?hõq_x001C_H¨?u_x001A_\¼J?ÿÉ¢«t²?_x0006__x0007__x0014_â7¡X?lZRÜ_x0008_C¨?ç2ZIû3£?íèüÚà«?_x0007__x000D_Óö" ?ñÖ_x0007_¢U¨?ÖÜþ&amp;[ª?jî_x0017__x0016_Þ_x001D_¬?._x0011__x0005_{ý«?Êaö×¶¦?º¹_x0003_ª_x001F_ü¢?§Ðâ_x000E_+ ?Àï_x0005_Eë7?_x0006_ Îµ?óðÐÍoê¢?¯_x001E_z#¢&lt;?t_x000C__x0003_ºdg¦?b_x0003_K+S-¥?.±@_x001B_©Õª?ê^§·©?_x001C_þ{á6Ã?­_x0004__x001D__x0002_òr©?`	&lt;õF¨¢?ö'Sý´«?_x0007_¨Ø_x0013_&gt;¨?"ÑðeÉ_x0001_?¸e_x0002_(=#¡?¦_x0017_Ñ£?_x001C_p:Ó[=?j-»Â¦?%¹mþEñ? ¿_x0002__x0002__x0003__x0008_y§?¼ü5_x001A__x001C_£?ÝýåÞïÍ¢?ß_x001E_K_x0019_Í¤?_x0012_tv~l¦?_x0004_ÜCÍh?±M¢HÑ?I_x0013__x0017_úë_x001B_?2Å¾É­¿?2_x000D_Ïá:¡?FJÚcA¡?vIïß*¥?&gt;AY_x0001_ÙÁ«?Ó_x0005_é¼Rÿ£?_x001A_Ü_x001D_«?ÀZý3Ùé?_x0003_ùhmCº?I _x001C__x0015_?òê¿_x001E_%¡?V¡Iõ¯?÷_x000B_D'_x001F_£?%½_x0001__x001D__x001A_f ?ã&gt;ËÌFøª?®º´.º_x001C_¦?_x0006_Ý~=ª?~ËRz'V?å(egÁª?¸ØN J?¥?_x000C__x001E_z_í¢?`h_x0001__x0010_^¢¥?@îM²º¨?,&lt;_x0018_ ?_x0001__x0003_£Cá¨?ã_x001B_û]'Ó£?Èª_x001D__x0011_î?_x0006_°ªGö]?*øPÝÅA?ÂUJ?Ç_x0004__x0019_é?_x001E_û½úÅ?_x001C_õV`Ç£?æµkÇ?_x0014_¦µà&amp;¤?3_x0008__x0016_¦ð?6$8¢?'!UÞ_x0018_Î ?Häl}?»Ø£¿M«?îV__x0007_ ?è_x001B_Ý?ÐÛ_x0013_ñU¥?u¨_x0003_¶h¤?F:æö_x0006_J ?h/YT?_x0011_|&gt;G¢?¾ñÿ91Ô?åº¢?ÍâFUò?8ØÊ??½ÒQ© ?úSéJÇ]¡?é+¼ù_x0002_?jÙDì|5¦?;_x0008__x001A__x0003__x0001__x0003_D?P_x0003_·D&lt;£?^0hNÅW¡?k 'ãßl¨?_x0015_*÷êãÊ ?ýG+ÙRS¦?_x0004__x0007_©Q?_x000C__x0004_wä_x0002_O¥?ª_x0017_8Ê_x0007_³¦?ùûü_x001C_	 ?à³ßû´Ë?_x000E_m_Ç)¦?_x0014__x0008_IGèì?_x0012_;ÁY_x0006_?"ñ1_x0016_ìà¡?Ðy_x0007_¾£?.Á_x001A_._x0007_,?©ýæ~£¢?R/V}®_x001E_?_x0018_]ëzð?¦_x0018_Í?µsd_x001A_&lt;~§?1iHg¥?.iTg_x000B_ ?G_x0017_Á²-¬£?ãÊ_x000F_ã¢?v(câ4?}¥Ù¢M«?2¸|!_x000B_¹?ÍØLç¯¦?D_x0010_}!¬?+gG¢?_x0004__x0005_)GôÊA³ ?FÈ_x0017_H£?ðlXú-_x0003_ª?-E¥Ò_x0007_ñ¤?^=OòoH?_x0007_ÚQ²ã£?_x001E_z¬e¤?þNË å¦?¯*_x0008_ÑÝ ?GGòªâhª?*Z_x0008_ö÷t?ÒrDøl?wjJ&gt;Éª?ÌzÉº¤?_x0001_¹ùºÝ?|_x0016__x0013_ì¹ª?_x0005_$º|_x0006_Z£?øKã½_x0015_¥?S¥ÜëD©?«¦Ý/Í?ò6_x000F_`¨? wjà¥?ª_x0014_µ¤?àád]&gt;¦?S»#"å?IÍÛØV?/ûì!Ð+©?&lt;_x000F_Ìw ?Ì_x0002_S%_x0010__x0016_ ?¢fH¿¾ì£?jÖ­8Ja?_x0008_BUõ_x0005__x0006__x000E__x0001_?Îl ìö¦?ºÊ/½ª?ü§Nd$Â¨?Ü¬ð(y?T¾§_x0015_ÛO?È¶3Kmª?nÎ¥Á_x0006_P¤?Î_ï&lt;¥?â_x001C_Rlø¡?xIµ®£?Æ9*ü*N?_x0016_mÔuTr?©S_x0005_º?l\Z¼	¢?{´GåMÁ?¨_x0012_$_x0019_Òª?â_x001C__x0007__x001B_2_x0008_£?h¨_x000B_fP?TÎ2#_x0003_?T_x001A_hÃ§?YÈà/á ?6&lt;_x0006_¤?äÝH^Ö¥?üud_x0019__x0015_?ö_x000E_K0_x0019_¡?¤vMÐïÂ?ØsÈ*_x0004_¡?;_x0017__x0006_/y£?sÿÍ_x0002__x001D_o¦?_x000E_F\í,§?¬;=­*­ ?_x0001__x0002__x0008_ßiÂ? ¾ë[	]©?J×&amp;_x0014__x001E_ ?ì_x0002_Vó·`?Tã_x001F_ÖH_x0011_?(_x000C_ðE¶¡?3~³0&amp;?½HcÂÑ?íd¤àü¢?mª_x0004_«?À8½dcì¤?~Ëc_x0014__x001C_¡?hÎg©?ZdM«¥?9%4_x0012__x0016_§?&lt;ZõB²_x0016_¦?hr_x0017_Hà¢?ä6VÖ_x001B_?Ý)W D"ª?§Ê¢?â.àçZÀ?ªÇN#èO ?Ú|Ï-ñt?ºËÿ@1¢?/¾¾ß³©?_x0014_éo&amp;v©?å»_x0003_kÔ?êdõoO_x0014_?EY¨àvï?_x0012_ñL4ñ¡?Ð3{U&amp;~¡?Ô&gt;¦Ú_x0001__x0002_Êü?ó9Ìs¡?_x000E__x000C_Õ¥ø£?T;»ÏR­?Øè9]·]¢?bñòh_x001E__x001C_¥?n%_x0007_¡î§?"å_x001B_õo_x000E_¥?J*w_x000E_G¤?¬w¢l²Ú©?_x0006__x0016_$H¥?æ-_x000F__x0006_¼_x0018_?_x001E__x0004_ËàÈt«?üö®ÝÛæ¨?_x0014_»jÕGL?¯_x000F_D¡_x0017_Ü§?Ê·|ª©?ã_x0016_ý{%Ú¦?Îjs)ú?â#_x0004_d©?õn±åab«?J£:ÒÎ¢?+w_x000E_Z*?}pûcõ©?±Àj_x0011_ßÊª?%s{Ì¦?å)Ät¬?_x000C_Ñ÷|¸_x001B_?_x0012_­_x0017_´§?"_x0015_Î¨?-¦Ïxê_x0012_?2_z_x0008_¤?_x0002__x0005_»Üag¢?_x0012_Õ!Ûßb?t_x0013_ºv?Qé¨×é©? LÒ_x000D_Î?_x001D_# @o?_x0012_¾³ÝEµ?JÆä_¨?wò¬âÆÿ?f'ëÎ©¦?îJ_x000D_é?_x0018_«_x0016_Ö«G©?Ð¾Æ×?d_x001B__x0004__x001E_ø ?ÔÃÚÈ³§?Ø._x001B_ù_x0005_?n£S{Ó¦?_x000B_£_x0012_1ðz«?¢/ gü'?_x000F_É|Î_x0011_?ÐH:òU_?Èºj7Mq?ç¾_x0004_ü££?ÐF¤_x0005_+_ª?_x001B_x#J ?]´ñ[qq?¥w{T dª?èN¶n8_x0012_?ÎÙ¶_x0001_] ?B_)ÎÂ?_x0003_Îldý²£?É_x001E_Ï__x0002__x0004_×§?¦Ëûi5ú©?¸£î©?R?Î_x0014_¬¼fú?(_x000F_Ý-?Dû_x0006_§¨?ÄÛ¨I_x001B_æ¡?`&lt;qPWb¦?_x0004_´Ü¨ïÙ?4µ«?* Ç«?ZzÞ_x0008_®^£?j±äÖ_x0003_p¢?ê ]×?_x000E_jn³­¡?_x001E_A Ñ8¤?÷R_x001C_LÒ2¤?Áz_x0008_jòã?°ó_x0004_¯5¹¥?_x000B_¢úð_x0001_®¤?ºTÍ@n¡?ò_x0016_}æ_x000E_s¨?Î[*yy?ùß|Q§?ºq¶¯÷À?xï{²Þ¢?´DÿØ©Z?ÄÎÝ^Y(§?_x001D_4öUeÞ?½""9:§?_x001C_S"¤?Ä!qú¥?_x0001__x0003_Ä"m3wR¦?Â_x0014_ý_x000D__x0013_¬?_x001E_ct _x0016_&gt;?ÞÎ_x0010_/¤?tÎã)?*_å«?_x000E__x0005_£_x001C_Ã¢?¬)_x0014_v9í?/£à~²º¨?q¹yËl[«?ºÜ±&amp;«?gr¥;_x0019_&amp;©?jE_x001F_'ø°?ÂÙÅ?_x0012_3©·n¦?ªÛê?«?_x0013_o¶(í¨?¾RÛ:_x0015_¬?&lt;[}S_x0015_«?}h ì,y¥?_x0018__x001F__x000E_TÜ¨?Ð|z_x0006_À5¢?,ñafq8©?_x0012_º&gt;½_x0005_d¢?®?ÀÙØ_x000F_§?Hf21 ?-õúHU¤?·_x0013_=ðrª«?$íß_x000D_õw¦?`lt¤­¨?ð¦Ó_x0002_Å`?%å^×_x0003__x0004__x0002_:?ÌÞ»I_x0015_?w2·¿êE?jU|_x000D_ú?­@_x0019__x0008_,S¡?ÈáÍÁ +?V¼VD[Ý«?%Õ:_x0002_¢?Vêçºïò¦?S1_x001D_vå?uÞþVw?Æ.µWm½©?þ[®_x001E_ò©?H_x001B_k_x0013_Âé?¢&amp;CC¬	¡?åÄñêÏå?=·´=ëõ«?y_x000C_ùi_x0017_¢?¤_x0005_èÊÎ_x0001_¨?÷"ù_x0012_ñÑ«?¾ë_x0004_Nû?ÊûI_x0011__x0019_ò?_x0001_­xQ?_x0003_¼g×¥?_x0017_ ôò_x000C_?Â_x0005__x0015_§HE«?þ_x001F_ÎÆÈ?û°H²_x0010_?Si¤:?,P]_x0016_u_x001E_?¸»_ji³?ÄÉd_x0012_ûó¤?_x0001__x0002__x001C_¶FçO¨?_x000C_Ñ0?GhÜyOö£?eã_x0006_98?J#_x001F_±Ï°¤?6ß`k~?d_x0019_Ù@«Æ¤?_x0004_ë¨àrÉ?vq_x0019_eÚCª?r2ü:(é?½_x0017_$o÷sª?½ýÏ¶'¬?Ø¬íÚ_x000F_¢?_x0015_æj]9©?LMæ"tç?PmtËÆ1?Me!:_x0006_£¨?Ê!EsÝä¤?b,T2_x0006_¢¤?pÑâ+K?JÛG?_x001D_S?^. AF ?å+'{_x001A_ü?Â_x0012_ïÌ_x0010_-¡?(¿qÅ &amp;?,Â_x0008_·?¤&lt;O½¼¾«?·£ïs&gt;«?_x001E_¿c_x001F_n?¸	cöÚ¡?.H\59£?SÎÖ×_x0001__x0002_¡:«?Á_x001D_&gt;_x0012_áÃ¨?Öá3óú§?u_x001B_3Il¤?LóÎ­_x0015_?l_x000F__x0012_MÒ{©?}\ö¾¡ª§?î6í%FÎ?¨Ô_x0014_#ôy¨?_x0002_+ÿNª2§?¶6\Ë¼?ð9Ù-5§?=_x0016_¥çÌÊ§?_x0010__x0013_þx´&amp;©?	Ã!S_x0017_ª?æ`	Êñ	¥?_x001B__x000E_Y¥?¶º·lã ?_x000E_&amp;_x001A_$Y?åùP¼ôµ?»Oe¾.?¼_x001C_i¡?D_x000C__x001C_þË,?á"j3´?ÛÎ-å{?[ø;TÌ?~¡¤_z?æ_x0006_%G?_x0008_ÌßQ?~s_x001A_ñC¦?ÎºsU§?81^¶¯ª?_x0001__x0004_ai¥í_J?¶³&gt;·¢?|_x0005_Y_x001F_?ÇgtO¦£?I:¬VÑ_x0016_¨?½0ÑfÜÕ¨?Ý-óyV_x0001_§?(+_x0007_Oª?¹éyV(¤?_x0005_Ô;ód?ö_x000D_kR?&amp;óóªK¦?YÕë_x0008_e?¿ÐRû(_x0019_?¿Zæ²?nnr_x000B_üê?sÃÔT5k?ýZ_x001A_Ø?@?_x0003__x0012_ö	?ØÝ_x0002_Ì	?yB(Gúþ¦?/µÍ_x0002_B§?_x000B_Ty_x0003_Ó§?W_x001E_¾é¨?ÆÏ_x0008__x0006_·F?kÂ_x0002_n?Á Äôí?^l_x0017_¬	ø?Q«	Ê£?Z¶c(¨?É÷ß&amp;@å§?L&gt;{@_x0002__x0004__x001E_¥?xö_x0006_7Ã]?b_x001C_-_x000F_2¡?óÀÆ+¨\ ?Ùß_x0007_§wé¡?aÄ»R_x000C_¬?ìqñÕin?æÉ|!~ª?6â_x0001_æS_x0003_?ÈS	~ª?ÓhÿE¿%?w_x0012_lU¡?(MU¥_x0018_ë§?_x000F_ôøÌ«?L_x0011_nþÊ¦?Áü°Â©?_x0006__x0017_cbË×¤?ðù_x0002_"´¡?_x001D_Îzx?ú ;M¤¦?ûD×Ø_x0002_K§?"_x0010_c"ÑZ§?_x001F_í×º£?Kxd¥?3_x0011_Ñl|«?_x0010_»"Ýì?n|YÑ®?»_x001F_hEm?zä6°;©?M_x0007_ê@K?_x000E__x0017_Ý_x0019_Ä£? ÷_x000F_áïö¥?_x0004__x0006_ÔaÎ©ëª?üP¥¡éª?ÝìgL?¶&lt;ìº¤?saìC¦?×_x0014__x0002__x0006_ô?)JØÙO£?Þ¦_x001B_ø /¡?¯;5¦?Wt_x0012_&gt;)?·_x0018_%o§?Ö`pøX_x0003_¦?¶ÆoD&lt;}?lwì+8l§?âÿßdñ_§?Ø=¦c_x0003_È¡?iº¸_x0001_¿¥?_x001C_±^¡ó¥?CM*F¿?8¼_x001E_ðv ?'dß¸£_x001B_ª?è« Ïg¡?ÃHºMÑ©?y¥ç7ç¦?Q&amp;É¡?Ñ\ÛÀñ¸§?ndðkj ?¼_x001F_#_x000B__x000B_?_x001E_C\Á:,¨?B,a&amp;_x0005_¤?°ls¼_x001A_Ó¤?ÄwvÃ_x0001__x0005__x001E_q¤?X¤ÁN_x000E_:¦?F_x0013_,nÝR?³ÌvJ?£[Õb_x0013_?X3I¯(?ü-_x0012_»ë?kòü²_x000E_ðª?¬_x0007_-_x001C_4«?\Êð_x001A_¤§?GËXY6_x0017_©?è\ÿñ¨?_x0001_ì}|ÛE¤?íä_x0002_¶«?_x001D_aü×G?­N_x000F_ÏÛ¢?BRKÆ#¢?Ìl©+b?;vp_x000B_¥?_x001B_Î³ò_x0017_B?2_x0001__x0004_¯©ª?«e!­¾£?öOÊéÎé¨?^vÆØh ?_x0016_2_x0018_³¶¨?_x0006_i1ï&amp;¢?\ìþÆ?N¯WÂ_x0003_?ÿbg&gt;«?m_x0005_Êm¡ø?¥_©ÍÜ¥?Ñ»m_x001C_£_x000D_©?_x0003__x0004_ÜÚæI?Ñà9ÛQª?®¼c/`?}.Ô_x001C_£¡?ü=_x001B_gÀ?¤_x0008__x0004_àÿÁ¢?_x001A__x0001_ãkZ©?Ú.eNæQ?Þ¢_¦? wÑÈê¬?	åÏºª¦?ÿ_x0003_4U'°?¼t_x0005_g­?~Yl;IÕ¬?îôöJ¦?ØÃs_x0002_©Æ«?_x0014_C:úã©?N½µ_x0014__x001B_¥?Ssn_x0011__x000E__x0014_ ?òÞ_x0010_SV¢?åö_x0005_¿"q ?UJ	­« ¡?~w£_x001E_§?ôsHY¥?ÊÜH-¨?hD¥¢_x0017_¦?î_x0011_á hÅ¬?"Ån_x001C_¹e¯?:_x001B_g!¨?"V@7?©÷ê÷r¢?Øîeí_x0001__x0002__x001D__x0015_¥?ü[»vÝ\ ?_x0004__x0016__x0004_ßâ§?¦ôÀJÅ2 ?_x0016_°óBÊÖ©?îÏ_x0002_üÚØ¨?_x0011_ÀZ5¯ó¦?_x0005_¥_x0003_ñ¹¢?ùPÚ­/ð¥?Î¿_x001F_Î8Ü?ê8àY_x001F_ì©?@)/f_x000F_«?_x0008_øÜW¯?_x0010_ÿEÎÍÙ¤?B0E0ç¨?VCÂÞ¸¤?4@ØÎ?ÐB	Ä¸a?é±²öXÝ©?¼yó}Zu¥?O~//Á¶?Sûµ°ÐÆ?z*Zµ#¥­?Ö"¿ß« ?$û¬È!í°?ôè¢|¾}¤?°÷GA«?wV(²bC£?ßçF°ÄQ£?P_x0002__x001E_¥âý¥?z!Q±4K­?PícH*h¬?_x0005__x0006_üÈðxNÄ§?7Z	òF£?ðlM_x000C_K¢?¾·:%_x0004_¬?Ü]ëõ¡?P*¬¦§§¤?Åá¦-¢?o30·_x001C_ü¡?ðqþø_x0001_¡?$8»ð5§?þqÔÈ¢O?A&amp;_x0006__x001C_)¤?Úâ_x0018_i(Gª?õ_x0018_Îáp¥?qÊ_x0018_d¶©?õ5:³?)º)Ö¡?4	?¬_x0003_R¥?Þù¶í¨?_x0016_ï	_x0008_¦?îP_x0002_Õ_x001B_¾¨?jÔ_x001C_òÒ?ì×Ä5-_x0018_¨?F÷Ä±¦?tIlÑïc¡?í_x001A_¨YØÖ¤?Ô_x0010_[lKª?}ÏË¡¶Û¡?&lt;t:­.¤?%ðÖ÷ª?_x0012_Äõj|#®?20_x0002__x0003_@¯«?8ÒÆ­y¥?àØ÷_x0018_¡?_x0010_`Ç*ñ©?e¢lt¡?ªÀ·Äï@§?f%×_x0019_Ï¤?_x0001_þ¨_x001B_ÏV¡?®1øZ·­?¢ÅóB  ?öÚ½z3¢?'î=_x000D_?Û-Wì^V?Üô_x001F_öº©?ô/_x0010_9ö_x001B_ª?ðÑa¯ê]?BáÿÍ£_x0019_ª?c_x0005_wy?ÒFá-æ_x000D_¦?ìàv1Vª?	ôÎ"î¨?LY_x0012__x001A_)¢?zÂ_x0002_RÛ_x000E_­?ûd?U_x0012_ö¢?ª_x0015_Ûæ3_x000E_¥? _x0010_á_x0013_ì¨?&gt;Ùf_x0018_º§?rd_x001D__x0015_3:¥?_x0018_DÍOÞ­?hstEÊ¥?Ò_x0018_¯?·Ò^8§\¢?_x0001__x0004_}`	\Ê³§?ÆTeKÕ?|ÇÁ³}«?À¹pd_x001F__x0008_«?ì_x0011_jvy­?_x0005_Hü®¨?e°|h_x0010_°?Ú_x000D_ùõR?(´!eýê¥?¢ 6F.¤?Ü¢_x001C_¬s÷ ?õû[°?¨æA_x0016_á_x0005_¤?2Ö+Ðª?_x0019_fñà¨?"&amp;VÇs¦?pUßW&gt;1¡?_x0010_ñÂK_x0015_L®?!² -kì¡?ªá_x0006_¹£?YI_x0006_¢e ?ôm_x0004__x001E_æc¢?:W3_x001D_¤?@¥_x000B_¸²_x001C_©?_x0003__x0005_RÆ ?¦U) |N¥?}ó~ò¶£?®¤üÜÄ»¤?Ó0¼_x0017__x0010_£?QkÒê?Õ©9ÜÊ_x0006_¨?ÒN7_x0002__x0002__x0003_¸b¥?b,¤óò©?_x001E_{a_x0001_hÿ°?|_x0002_ã&gt;êå?ì_x000D_HÔçz?µ_x001E_ÞwC¡?ZwWP¦¥?*L_x000B_ßÓ£?Ôi$È¡f¥?tT¿q-¦?jÑÛÄì­?cÛ_x0010_g?,¤?)Ð1¸0?!Mó°?ä1þ_x001D_W|ª?v²øl_x0014_¤?_x001E_~¼r_x001E_¥?&amp;¦pÇ¿¢¢?Ô¸NÀóù¢?±Ui&lt;;¨?&amp;r®ÿ	Ò?Fö_x000C_âè]ª?fü&gt;y{v¤?h7_x0011_ ?QÚ[{¤?,_x0004_WI_x0003_Ì«?¨­e_x0001_Z_x0011_? )_x000B_Ã8¬¥?QWíâ¬?p_x0013_\a|¦?b4ÍÐi?_x0005_YË2Ü¦?_x0002__x0004_BÙáGãt¯?FÛTÜ6¬£?_x001D_ÊýOm¨?èk×_x0011_B­?&amp;É¾·¡?BÙZ²@Þ¨?Â[_x0016_¡'U¦?@j¿Ó£?Ö&gt;iPM§?È¹?F_x0003_7K¢·¯?fºw5Â¤?î:&lt;g_x0019_ô?4_x001E_6«#¡¥?Êê*lÜ§?_x000C_Òyìí¤?Q_x0004_¥#êº?ô_x001F_B±ä©?ì7lC_x0003_?¨§-Â¿N¦?$	ø¼®¤?HÒZä«?_x000D_Rm &lt;¦?"]_x001A_Ro_x0005_­?è\)\&lt;§?T¸Zr4_x0001_¬?_x0005_ó-ùR§?MïîÉsî©?n_x000D_\_x000B_½û©?Æl:_x0018__x001E_§?ÌÐ¾ô¬?z_x0008_Õ_x0003__x0008_c_x0001_¥?Ä`_x0004_øë{¡?ê&gt;ó^á6?â¾1/é®?~²Ëx¢?ÜëP_x0004__x000F_§?`æ_x001C_Hzü©?ú¼é°_¥?¢á¤_x000E_©?oû_x0018_ú ?¼ÿv_x0011_¢?î2a\jR«?ÑK½ ú°?`ý¹$Çq«?XHÓ)o_x0018_?_x0001_¶|_x0006_¦?¸÷'´^ø«?Z_x0017__x0012_,$_x0005_§?(µÐ}.£?0tò¼±¨?8OÀ_x0011_!P¡?*tÌÚ_x0014_ ?:áøH!Ý§?ÀÙþò1Ü¤?cQ«_x0012_±?åo³_x0017_¤?_x000D_i;pù°?î£´9 J¥?k¢§¤?_x0004__x0002__x0007_t«?_x000C_k_x0010_½ìS°?nNè_x0008_§?_x0001__x0003_tPá|ói ?\à²ìû¨?ü8ø`_x0001_¤?ÎEr_x0005_¸¥?:_x0003_ïxz_x0012_£? ?ÃïÕ«?_x0012_ÏeÌ§?|´yü¬?_x000E_Ã_x0017_E_x0010_*§?#}ô÷=¢?¤&lt;_x0002_rH§?z_x000D_¹ÁëÜ¥?¨3ñ7#_x0003_¬?Æ×è6ª?lõt÷]$§?¾ÿcO_x0001_Ü£?À_x001C_|Àc¤?pøU½ÜÇ¨?^%_£?_x000F_	[·G§?Êº	DU®?/ü-©7%?}=°R°,?_x0004__x0003_É)V¤?dR´&amp;_x001A_I¦?$Ö¦³ZÀ¨?Jéo(Ð®?´»ª_x0001_¥¸©?¥î¨s? BÆûð?âøýôç¥®?Ì:_x000C_=_x0001__x0003_1:ª?©ÃÂ_x0012_LH°?vhïiÉA?øãKó«?	V]QÞ£?ºÂq?V9Àº+_x001B_­?%§)_x0015__x000F_w£?fWFú_x000E_'¦?²ï_x001C__x0002_ ¤?Gù¾8Ú°?F´~_x001B_¡?_x0004_ôk_x0008_·®?_x0012_Hp_x0010_Ù¯?èÎÞÝ?_x001E_£?Dóeu¯?òmD¼pÿ§?BÊ_x001A_×«?Bý_x0011_¨÷Ì?&amp;Eii?Î­?:UÛÀ ¬?t M¢ö¶ ?ÖÕü,_x0003_n¡?ËÉÇK6&amp;¢?Ä_x001A_j_x001D_¤¬?_x000B_nÙ|æ¡?_x0002_$_x0001_~Êb?Þ_x000B_äË¥¢?"ÃNYÃ¥?`°i6&amp; ?ÿ$Fc_x000B_6¡?__x001A_Ê¹¢?_x0002__x0004_]ù_x0007_La"¡?ä_x0017_ãÙ-_x0006_¨?}Á²_x0001_íÐ§?_x0015_âö:©¥?MY ¥^¤?%iÔ©Z_x000F_¡?m_¼E ?¶ðs.¡p¯?_x000E_"è§?_x001B_&lt;ëM½Á?£ü®¯ª?Î,x_x0003_qc¡?p©°_x0014_§¨?ô53F«­?&lt;_°ýª?_x000D_¨#&lt;ìª?èAÊ´ç¥?HÄ: «?P±El_x0014_¡?Þ_x0011_X@ãÞ¦?_x0001__x0019_·-§?¬_x0010_é_x0013_b¨?_x001C_òåÒå¤?%/R_x0019_.J¡?r¹Æªl©?}*N&amp;7£?OÝSÚh¢?­_x0016_×ûÐR¥?41¿Q¬?Ê%w·Dñ?n_x001F_ëtæ ?UD_x0014_Ì_x0002__x0004_Ör£?$?_x000B_ñ®?_x0004_$Âì»_x001B_°?"M®;ú¦?]Ô_x0008_ægÚ¥?ð×_x0017_üµ­?Ù_x000F__x000E_¿èè?ØþÒ®±3­?jØÀ¶%§?Røï%º«?àå£?¦_x0006_nÈòí£?2U¿¿_x0002_s§?l¨z_x0001_À©?j_x0015_ÂÚ§?ð½Ù_x0004_ª?QeJ@þ_x000D_ ?8k_x001C_hÒª?_x0007_L)ón°?4ý_x0002_E¯?@X¦eó(¬?r_x000F_LÃ®?Ø_x001C__x0010__x0004_Ãq©?]Ò__x0011__x0005_£?ªs2æ¥?á_x0017_Ã)i©?Ñ=1_x0003_ì?U	Èð¼¡?n!¼U¢?N_x000D__x001A_¾"¦?RïuÞê¤?Ø«_x001B_æ!¥?_x0005__x000B_»Ó_x0008_&lt;ÿÌ?æ_x0003_ÀR^	°?ö_x0007_ú¤Õ§?Z _x0013_J_x001B_?"¦áÙ¦¯?½_x001C_w_x0008_¨£?^_x0010__x000F_9E8©?òOµ_x001B_ø7?0"_x0002_44¤?=mm3¬?Þ!Cb3¯?ÜÈ«3aõ­?6âj_x000F_3©«?âOCÊò*­?¡o_x0012_Y¢?_x0004_AÊ_x0018_ ­?¯r_x0013_=_x000C_£?Õ+Ã=Ë£?V_x0006_kv^§?_x001C_æ_x0012_4¨?^ðÇm®+?ÊU_x000F_aÿ_x0004_®?qcúÿ?p/b¢?_x0001_+¿q?&lt;¨?þ_x000C_Ùù_x000E_&amp;¥?³nÁMü_x0007_¡?@ø¶t«?Ò¼üBQu ?_x0010_éÃÆd§?±þ_x001F_Üb¦?n_x0018__x0001__x0002_Z±¥?9ú¹E|O¨?r'_x0013_`hð ?_x0014_¥/¶_x000D_à¡?ÚþÔcE©?_x0004_vQi¡?øQñDÀ¡?#b?Tl±?Ä}ÈJÆ¤?´¨ÑÓ¥?§*¾,ºP?_x0012_j«_x0014__x001A_¬?_x0015_¡LT§?üjÕR_x0017_°¬?·©w×#;?(µFbÑ»ª?_x001C_ª_x001A_{¤¤?¡YXþt¢£?[ÐX{1¯?ï_x000F_4`4á¢?_x0010_ÌYß)¬?_x001E_Ó¾	_x000D_¨?u³Ìj¦?¬Üºp±¬?õ,H¯_x001E_°?-_x000B_ã2x¨?xkºª_x001C_¨?F_x0010_Wj_x0004_¢?BJ4_x0013_øñ¥?Rí_x0011_ÊÝ¢?_x000D_§Õ_x0013_Õ¤?Ú±Â-Aª©?_x0003__x0004__x0006_;pì*«?îüCþY¬?%.ßt_x0007_¦?±ì|£?\;6©_x0015_¡?_x0018_8n_x000D_µì¦?_x0012_p(D¨?½Õk_x0002_¦?ÿ2Ð?Ìÿ×_x0019___x0003_«?_x001E_w#a_x000D__x0001_£?¬_x0014_®º_x0007_x¤?_x0013_9¥AsÊ ?_x001E_Ç·'«?,yÄc;¡?¦!fÕB©?n6á3êI ?|eÝÚ?ù.áY_x001B_ ?_x0018_O_x0005_~ë¤? A_x001A_¿MË¤?Ò©Ýõè_x0011_¦?4N[£_x0001_©?¶ðåg¥?ÇYþS°?,câ[¨?9­çÉæ_x0013_§?4ò_x0018__x0002_1_x001F_¢?^ò«Á_x0017_£?~;X±·Å¢?_x0018_e'_x0012_º'¡?ÚGRý_x0003__x0004_¿ ?_x0005_7eF÷¤?_x0005_kæJ?é¦?àÇë·Çq¤?øó_x0015_¾¿A¤?_x0012_±ëp_x0015_G¨?Æ_x0003_ppG¤?ÿä_¹_x0010_A ?§__x000F_4&lt;i£?±ì¯³;©?Æ_x0017_«K?iÞ¼×T¡?Ô®_x000C_ºïÁ?JfORÝ¦¡?Ü_x000E_à+|¥?ôB%Ínª?¶ñ´WÉ_¥?âò_x0001_±½¥?¤Pùò*¥?¾âá¼ý¦?}ë{àñâ¤?Núµ#8¢?[×_x0017_R3«?üßü_x001F__x0002_ª?_x0010_ÇT8_x001F_Í?ñ$#_x0017_¡Ù?ÔÈÊ_x0011_?ªèg;'o¨?ªÔ[N§?4m_x000B_»-«?yÛ±£?maÿÑû¿¥?_x0003__x0006_x¥Ù¯Õ#£?*z_x0005_îûÿ¢?ª_x0004_^FgÉ?hxô_x0008_^Ï©?Îð©Ù)£?ábÈ6.x?ÍÛ³_î§?Àõ!f¡$ª?_x0018_²á#n&gt;¬?v_x0001_Ñk®?nK_x0015_Êd«?_x000C_X_x0004__x0016_ô?\}_x001A_§?=Çßóä¥?_x0002_ï¼ä_x0004_¥?iÐó¬ý*¨?Csu×Ý?¢_x0014_:ª¢?ÈºY?¸¾?ÂA³_x0008_õ_x0002_¤?)Ïó70¡?@õHD« ?4ýAª?ºîÑè§? É(´Î¨?õ_x001E_ÓÎ¡ò¨?ÂäOà²_x0016_®?¸³_x001A_ ô¤?NijõN³£?JËª0sX¨?d@	Ö_x0004_ ?_x000D_:.J_x0002__x0003_Õ?¥×ë?_x0008_¤¤?l(ºº µ°?@Z^Y¤?úS§?ÞHpöp­ª?K_x0005_:Â2?ímtN¤?ôúÚ¶9b£?£ÿL¡?¢µËìú¦?t/àÊ ?¤´h,Á5?U¹7_x001C_«?x_x0019_8_x0005_x ?ÑÍ Í¡?0-.Í_x0003_^­?Î_x000F_uÛ{?êÁìaûs¨?aÇ_x000E_Ô_x0005_Ë©?_x000C__x0007_}_x0006_6{¢?_x0010_Ð6cdæ®?ÜQxÿ_x001C_{§?._x0001_ðê3©?	_x001B_F_x0006_"©?È+î¥ÇÙª?ºÿc[ï¿£?I^®»âF¨?«§¶Q_x0014_Æ£?cr¦?åxç¢?_x0001_uÙï·¦?_x0002__x0003_ À]¦?H®7La§?*ÎVV¼?Ö_x0003_ÂEû£?l_7ÈpÆ?N;ÉcVÊ§?*NøÏ­®?kÎ//_x0007_¤£?Qè11áF©?çÛ)Ó?Á	$Ö_x0003_­?Jë`_x001A_¬?PÛ_x0013_zM¦?w¼Jí?t	t¢÷Î£?qFáû_x0004__x0011_ ?î[üíÊ_x000F_?¤ñBLÏ¢?3´ÆAì_x0001_°?_x001E_?_x0005_F?´_x0018_"WöSª?BµËÛ#J«?«¼Ý¹~?_x000F_x_x0007_­¡?ÜjÞè_x001C_î¢?_x0004_sÚ_x0016_ì£?²/\U¸ª?nô_x0006_Ä$_x001B_£?Rß»÷²©?ùÔ°M, ?þQJ_x0004_/©?\\i_x0001__x0002_U¿¤?¼t¦_x000B_:£?Ù_x000D_n0ªu§?`È_x0007__x001C_¡E¤?ªbÝ:¬?4æmK;Ï±?.5_x0016_&lt;_x001A_©?úñ§Ù7H­?ÆÔ%¶¦?&gt;ýbHñ¦?ãî%6xw¡?ô1_x0006_UÕ§?_x0008_ö6z£?ú_x000C_Ê-/?P_x001F_´aµ?e_x000B_L(ì¢?_x001A__x0002_ßcÞY£?à'ÏÊùÞ¬?_x0004_*}_x001D_V¯?Ô(,ÐE«?äÿ$Û+M©?ûµ©-#¢?.dmm6­?»J3VÖS£?\!_x001F_÷®¥?&amp;=s]«?p[k¯i¤?¸¶BMB¢?_x0006__x001A_áO_x0002_¥?å_x001D_}_x001A_G?È¼ðp»8ª?º¢Lz×±¢?_x0002__x0004__x0003_«	¡?_x0017_¦ÀYZ¡?ÞX(ßx×¦?ÞÊe_x0012_ë®?Vàa_x0014_Sf?Îi_x0004_0ë}¦?6©e£?ûë.Þ? _x0015_"_x0017__x0019_«?\ïä¶­?( ­ß?ÄÇ#üá£?	x_x0004_ÙðZ§?¸_x0013_ë-_x000D_©?&amp;§õ¡(?¬ñÐi;*?2e=°?°6"~¬?üßø&amp;_x001A_*¯?yÅê_x001F_ü ?º_x000C_]ï ?u­½«Kû¥?_x001A_á_x0001_¥Õª?2Ð;!D±«?6_x0008_YSIÇ¦?_x0012_)ÊÇ"@?h´9«Í°?æ²Ó_x001E_óª?JWüO«?_x001E__¶[´p¢?l^ZþÈK¤?º§×K_x0003__x0004_«?ðn_x0019__x001A_Â¦?_x0004_·_x0002_(;¥?«0g`ù4?8a_x000D_ª?54^£?r3ÊF j«?ñÞ×Y|¨?V(ö8ÝÈ¤?!K_x0017__x0011_°?,ïw*P¬? »ççÎ¨?Æ_ù@%¯?!æ;ÍVû¤?_x001E_¸ÓÜ£?ÜKn11¦?&amp;7»à_x0005_?$_x0002_ØL+ª?Rçºµ&lt;Ñ¯?§a1úf?XVøÇ_x0006__x0003_¢?ºK__x001A_æÇ©?^Ã'_x0001_EÂ¢?õR_x0001_[Å¦?X;øfª?_x0003_p Þï_x000B_¤?åBýµ¡?Y/]jVÈ¥?,¾6£ _x0013_¥?æÃ_)_x000F_.¥?_x0001__x001E_ºJ¦þ¤?#¥YÛw"?_x0001__x0002_¢f_x001B_¦?µß«¨?b¾/ª?èOvþR©?p[_x001E_ïuª?¬8ªï-l£?¨§!l9°?ðg_Ú²±¤?XXÜkm¢?Ô@}_x0015_*á«?^Ì_x0003_*Úi¤?_x0005_Aã¡ù?l_x0002_ùIyà¥?®_x001F_¸~6Ö¢?ØÚC_x0004_ze©?Nç¹¾§?ð[:G0X«?nó/_x000F_î%©?n_x000B_lcE¥?m«Dùê¡?Yvlë¢?Ð£ÂÃÚ¡¤?_x0014_ÏkToC®?Ã×³_x0006_¢?þ_§ä»x¢?z²_x001A__x0006_4/¡?.Ë]û3Åª?_x000C_7_x001A_ïÚ­?iþg+Ó?¡?_x001C_ý_ã *ª? ±°_x0001__x001F_?_x001E_U_x0002__x0003_cåª?_x0017_&lt;?¡?_x0010_:¼Ê¬?ËÛ¡&lt;m£?N5 'Kæ¤?ìí¯bkF¤?4x(ª¯¯©?4.7qª?_x0010_V_x0017_^ú£?¥:^¥~_x0019_?üõ2p{_x0010_¬? _x000E_ûð¡?2G¿²)¦?_x0012__x0008_ô&lt;lm?J_x0001_E@òÁ«?$²³v8s?üÆà·_x0018_*©?Z¸s_x000C_¾õ®?8;~_x0013__x000D_¤?_x0012__x0019_Ë_x0017_hA¨?Èç§U_x0013_þ£?X_x0015_Úá ?N|C_x0019__x000E_ß?³5iî×?®M5^_x000B_®?¾ë_x0003_¾?Ò]&gt;®R×¥?Ñ]¼=ë¤?IFCòZ¤©?&amp;×-Ï_x0012_w®? ¿Å_x0012_@ö§?_x000C_YvÆ_x0001_ª?_x0003__x0004_:_x000D_'ö÷%¨?ý_x0016_z&lt;_x0010_¦?ð¸HÅ.¦?gÒ5	`è£?L_x0001_cÆ­¦?H¿bÏ_x0014_A?¶×®£WÉ?îºçø³t¥?NR[^&gt;©?üêJ´¤?0){S¹¨?bÜKú_x0001_Ê¡?UIVLQ¢?_x0010__x0002_)¯§¦?äI¿[p¤?f_x0004__x0013_tS¨?Ìaµà¢&gt;¥?4_x001C_$äÎ¥?$_Û_x0001_T_x0005_£?Ý·Ô_x0010_»k¦?YhÁG_x0015_ª?Ju_x0015_^«G¢?Â¯«_x0003_\¦?ß¤(Ø¼¦?µ,Ú5r=§?_x0002_ÿz_x000C_Þ¡?_x0008__x0019_&lt;^c?$±¸§¬?CØ:"£?¶_x0001_·s_x0019_° ?ôF9O¦m¬?²B%_x0001__x0005_Æö¥?@}`1±?Ðt&lt;*ó ¨?_x0006_[TW?e]I_x000E_ù?Á&amp;õÞP ?Ñ_x0002_Æ2âW©?¼EÔ_x0008_4£?ÿB!j®?¿ÿ_x0003_tnO£?Ä ÇÞ½8¨?FpÓ;_x001C_¡?Ø`\7_x0004_ç¯?"µ_x001B_¬&gt;8¤?åøÊ÷¼¢?Ö9«·¡?Ø_x001A__x0017_¦_x0019_ü§?Aû_x0001_ÀÎø¨?DºÕÿe¨?.IÏ²ª?ä³à2?¸]=lß ?_x0003_bðÿ?î_x0018_"_x0006_¯?,&lt;_k.o§?8§°Ã_x0002_Õ¦?_x0008_ßCI½£ª?ºiß#¥?Ùò×·I§?®zkÕ#Õ®?º'¿Ì¦?Jô_x0017_Ê¨?_x0001__x0002_ºi8ñ,_x0008_©?_x001F_Çª¬Õ£?B_x000C_ý7¹s¬?¨¬Í_x001D_±_x0018_¢?»*µ¨?be÷Ý8ª?¼ì^]2ª?øX1¢?ÿUáP_x001E_£?ÄGÎ ?Îg ¿®&gt;¯?àË_x0014_õü_?&gt;uµªTï¤?Øx{¤&amp;3?¨$8Äu¨§?_x0007_[ä¤ýj?_x000D_Ì¨¨ìm¥?ÄË°_gá©?Ì_x0014_®5!¤?R^_x000B_þßT®?_x001A_å_x0004_ÖÚ;±?vâ7ÿS?"rS_x0015_¦?ø+Ù_x001B_9Ú¢?oð_x001A_ãÓ£?Ieµ0d_x001F_¦?¼­©ò Õ¡?JA1»®À£?_x000C_üÑ_x0018_R ?&gt;ËsJ_x001D_¬?¦8~_x000C_ª?_x0006_2P_x0001__x0002_UÁ¯?j ?M±?*!f_x0012__x0012_¬?kb´ô¢?_x001A_§_x0012_Ð¨?yéÍXô§?x¹¼:E©ª?¦Á^}­?_x0019__x001B_7Ú5e°?Dß_x0016_ð&amp;¤?¡zfÆ_x000D_i¥?µÉÀ»¢?È/_x000E_-C¥?õçjìX ?T}FÖ_x0001__x0010_¤?æ_x0008_÷!M©?Ö)oçoo¥?h÷Àá9«?ú_x001C_ÜÔ_x000B_t¡?TDB²9ä£?ÜhdQ¾g¦?éÐh?Dû_x001E_ò_x0017_9®?H"A5¬?ö";ÉËf¤?ý¬~Ö_x0014_ó£?É)¾_x0001__x0012_?À_x000D_àÛ±°?:îÊÁ ?Ên4kbÑ¨?5a\²¼§°?_x0019_aý0GÇ¢?_x0002__x0004__x0008_6_x0019_ôe_x001C_¦?Õ0&lt;y¥ ?×=ð6@£?iëw§v&lt;¢?Ü÷CFíæ«?ÐóÞé^©?þ³3_x0015_L_x0005_?ü_x001D_ÛAm¤?O¼_x0002_q?_x001D_rj¼÷1°?_x0005_¥_x0003_;_x0001_v°?V&gt;&lt;WÝª?_x0003_ïEP@V?Ê_x0010_U0_x000E_ê­?Öý2%&gt;_x000F_¨?j,V ?©?Ú)_x0014_p¦?Êl&amp;¸­?R!0u3¥?_x001E_¤ðpv©?_x001A_j_x0008_°A¦?h_x0006__x0003_pÉ°?Q¦,~°?ÊÂ¢²Üô£?¨_x001D__x000B__x000B_$Èª?4_x0007__x001D__x0019_n½¬?_x001E_ä_x0007_ð¢?Æ_x001C__x0015_­_x001D_È­?&lt;:*h_x0006_w¦?~^æè«?OÀÎÉ¥?bJ._x0001__x0002_Ì_x0002_¥?®Ì_x0008_ÄÅ¡?Fõø÷_¨?ê_x0008_ÐÜ§i§?ö_x000E_m¢¾¥?±t4ð_x0014_¨?L_x001F_ëã±&gt;¤?W¯lHü.£?_x0008_	ÝJ:¥?ð++ð²· ?z.«g_x0001_?©_x001E__x0001_×_x001E_±?_x0017_)_x000D_i¬Ö ?v®\I_x0019_©?y_x001A_}Ï¹_x0015_©?¬ÃÙh#0¥?-_x001B_ç_x0010__x0005_8¦?_x0019_N_x0017_3­¢?±ïÈH?&gt;÷ôUO§?_x001D_¿TùÓ ?Q;U,§?Lî/@ã ?ò{#µ´¢?')Q_x0014_ê°?áy¾º&amp;\¤?§_x0018_0ý¦?::Oõ¯?âf" Ã_x000B_¢?FQø¡*Ð?/X_x000F_¼,Q×?Ð_x0019__x0013_µï_x0013_Ù?_x0003__x0006_R_x000E_K_x001F_á®Ô?Ð_x001C_{½ÖÖ?Mn_x0018_7üZØ?Ås2©_x0016_Ö?CcôåKÖ?rÉéU_x000D_âÚ?qh·?Ô?¡m8~_x001C_Ø?º±_x0002_B¤_x0002_Ý?7Î_x0002__x001F_øNÔ?xe_x0005_~ÁÙ?þ°©-Ú?ÑÀÂæÚ?RZ­¶®Ú? h¶WîÜ?÷_x0019__x0004_bïØ? ,åSOUÛ?g¤trÌ[Û?¢éì@Ó"Ù?;_x000F__x0013_Ö?_ÑµWU_x0001_Ù?´e´äVÒ?uË_x0015_u¯Ü?_x000C_KäVL_x0019_Ô?³@/P.×?Èí_x0002__x000B_u¾Õ?üÃ_x0017_f0_x0007_Û?Qõ_x0015_µK¸Ô?¨ªmÊ ðÙ?Ü |]'Ú?Z&gt;Å¶¥ÂÛ?Jì_x0014_1_x0001__x0005__x001E_hÜ?òBã5Õ?_x001D_Ã7q_x0014_¬×?Áv=õÛÕ?Ý!áYä×?ª_x0010__x000B_µcjÞ?:&lt;B¹aÚ?&amp;ç_x000F_ÒÕ?º1?bØ?ÈQ_x0010_íÙ?l_x0012_ÈA_x0019_çÕ?ÏÿÊMUYÛ?_x0010_Ïc¤b×?¦xÓú×?)_x0012_\zÿÜ?Jî_x0008_C\Ú?_x0004_@Ø²r_x001F_Ý?1%q½ôFÚ?häÛêØ?ñH2ïÆÖ?RôÕ}_x0003_Ü?8X_x0004_}ºÖ?_x0011_H½¥J!Ú?õT_x0002_WÙ?_x0002_"bÙ?j_x001B_ó#,Ù?_x000E_ïR_x001A_Ú?&lt;µ#9»{Õ?õ=&amp;v_x0018_óÑ?]·nSÚ?_x0008__x000F_ê_x0004_o&amp;Ø?_x000B_½_x0011_,^Û?_x0003__x0005_&lt;¬*aT»Ú?_x0014_98_x0013_öØ?t_x001A_ÙJéÞ?¼_x0019_1_x0017_CØ?_x000F__|³È¬Ú?ô¯ý,*ÇÙ?_x0016_&amp;Ó×¸Ù?Ø©°_x001E__x0017_Ø?© $%._x0004_ß?ÄHü¼ÛÚ?©¼y)Ø?_x0011_¢«ûj"Ý?6K'_x0012_ba×?_x000B_;~Û×?ÔQ[D½×?ËÖm_x000F_ÔùÖ?iyX_×âÖ?_x0013_:_x0008_xÛ?Új_x0013_C#2Ü?~À­_x0001_Ü?_x001A_/n_x0001_ë÷Ú?ZÑåyS~Û?0U&amp;ß_x0015_wÚ?#/Å ÅÛ?ø1"cæÜ?_x000E_Ò]P_x0002_à?ÑP_x000B_,$§Ø?h¶ÉêÔÌÔ?â_x0007_óÑOàÚ?ûñÎµ'ß?_x0005_ïKõ_x000D_VÛ?_x0005_h_x0001__x0002_×?hZz+4Ú?z×w¬ç«Ù?lâhk±ÞÔ?è}a³¢×?¸_x000C__x0004_ZrÖ?_x0002__x001B_Æ«uÛ?gÙdûÛ?*-úÑÅuÔ?èã®ÞºüÔ?7_x001F__x0004__x0017_:KÙ?~u_x0003_ÈÛ?´Dg6Û?é_x001C_z'ÙÙ?ï(ZÈÇ·Û?7S)T×?IÀ_x0005_rB_x0002_Û?Ø· &amp;Bß×?_x0014_¯|(HéÖ?¹f®UïÞ?5è¾øg_x000B_Ý?_x0001_	EOtÝ?Ø_x000D_É_x0014_ç_x0001_Õ?ùÉ¦4_x0013_úÙ?_x001B__x0018_ _x001E_/Ø?_x0018_5~ ùµÙ?_x0004_g\ÂØ?;çÅV3Ý?Õ!Zµ¾\Ø?¡CEpèÛ?c&gt;#&lt;_x0014_Ú?Í	_x000C_MD¯Ú?_x0001__x0006_V Ã_x0016_b_x000E_Ú?_x001B_þ_x0018_\©Þ?Úó_x0004_¢&amp;9Ö?zÅïýÞ?_x0014_C*²þÛ?_x0002_L¶IéÓ?£&amp;Ü_x0002_fÙ?ìT! ÜdÛ?_x0005_OÄùØ?ÑL$§Ö?P_x0013_¼ÌKÛ?_x000D_-éØÛ?D(ÍÿEÙ?Ä@Óo_x0003_Ù?ÍJ	ÀÚ?r_x0002_ºû_x0008_½Ú?|£z²_x001F_NÛ?±·ærfÓÛ?"aE_x001D_RØ?glXÌf×?öìSªä¦Ô?HõÅÌ_x0019__x0003_Ö?¬?ê\ô_x0002_Û?«(¨Ú.Ù?Ë?àí«Ö?¥û'Ù?a9W×?T¶Õµ@AÚ?îVVb9Ø?_x0001__x001D_ ©u¡Û?Ç´¼L&lt;ëØ?6¡åY_x0002__x0007_bÀØ?Ñiüÿ×?áÀ©Ø?_x000C_/NP4ß?Hm2¢£Û?ö+òÖ?²_x000E_øÌB_x001D_Û?F°ÚK^Ü?ÎÑ¢_x0011_Û?æ_x0008_æ_x001A_?tÝ?Ì _x0006_÷sþÚ?Y_x0005_µ¦JÛ?m/Ö¥ÃÒ?1Ã_x0011_Ö?Üzí{¦àÙ?¼tÓ±FWÚ?V_x0007__x001C__x0006_Ü?Â_x000C__x0003__x0011_¸×?%9NÙ_x000E_Ü?.ªÁ.¡Ú?_x0017__x0004_cÚñHÚ?Ô§{/-Ü?÷_x0017_¦»º®Ù?!óî£òÚ?Sk¿dç_x001F_Ü?dÁJoüjØ?Ï_x0001__x001C_-aÜ?_x0014_¬Ù6uÙ?_x0005_³ô"Ù?_x000C__x001A__x0008_ÞtîØ?U¶ÊOú6Ø?Uô´_x000F_Û?_x0001__x0003__x000F_rq?®Û?_x000D_ôÊ_x0004_/Ú?:_x0007__x0002_x}_x0001_Ù?Ç²¬gØ?JÐo&lt;VÜ?È¨?é*Ù?K.Ä×N_x0005_Ø?_x0018_$È_x0012_.Ù?Ì_x0019__x001C_Ò_x001C_Ú?73¯¤©_x0019_Ø?à÷(Ô?;#èH_x0019_Û?ðyKo_x000D_Û?õÄ¸óâÚ?!_x0004_þ3¨Ø?(çÂ¿&gt;NÚ?n?ñ_x000F_ä°Ù?Ö5MÝ7_x001F_Ù?þÛ_x001F_ôÄ÷×?SÍÐçKÚ?Nó:\Ü?é_x001A__x001D_T=iÙ?h0\1÷Ö?LÒ²_x000C__x001C_Ù?å}_x0015_!_x0011_Ú?/rF_x001A_8vÕ?µy hÚ?vù_#ôÚ?Ô2ÌXGÛ?º&amp;ÌÃÙ?uQ­_x0001_¬³×?ëc._x0005__x0006_ ÔÞ?_x0005_òÀÈeºÜ?öXãþ;8Õ?ó_x0016_Îü	_x001A_à?JÅ^&amp;_x000F_Ú?ØÇèÌ.Ü?ãoÖ Ù?.Éy_x001B_ÜÖ?*ÈrImÄÜ?r_x001A_Õ¿#ÜÕ?F­Q]Ù?gÑ¿(}Ù?zv=òØ?Æs³«+Ø?õÈkÂBÓØ?\¤ûZNlÔ?_x000E_%³î÷hØ?m_x0001_ë¡ðÚ? KCeÞnÙ?4öPG×ÚÙ?_x0002_+äìæ×?;²0ùÑ×?£¯_x0006_Òb|Ü?²ÐH¹ÀÙ?ÒÈ·¥_x0004_ßÛ?è»_x000F_ó¯óÙ?H_x0003_yûqØ?_x0018_N_Dd]Û?hòáÿR)Õ?ä?O³Ú?w/_x001E_4_x001D_Õ?U2TO°Õ?_x0001__x0002__x0017_|&lt;£ï$Ù?g$`Ü?^Ô_x0011_wbiÕ?nöÄu|Ü?6[_x000F_Û?D$é¡yÉ×?|¿_x0017_UKeÞ?)ñÐ_x000E_ÚÁ×? ï_x001D_ÂÜ?°@­¼Áì×?W¡e&lt;:ÎÖ?Ä»29â×?ÑVÑÿ\¶Õ?¸ÇAyx¡Ü?h¿kZ_x001D_jÚ?_sv=V	Ú?Í%à&lt;ÜÏ×?w¿$WCÚ?­Ú°é=Ú?â_x000B_ªHZÄÝ?_x0018_öL±¹YÓ?Xbî_x0013_OÜ?$ùÆ¸ÕsØ?Î~A_x000D_æÅÖ?_x001F_Ä_x0008_&gt;¦Û?ç_x0010_B_x0016_úcà?ÁñWÇK¥Ù?ÀW_x000C_ÛKØ?þù!?wéÚ?ê$ºÏÛ?áz²_x0013_@Ù?zz-_x0002__x0003_!ÏÚ?ýÕäø,jÛ?l_x0008_çî\9×?²_x0019_R_x0016_ùTÚ?Ó_x000F__x000D_Ö?) º$_x0004_?Ú?_x0003_§ÊDÄ×?­_x001E_å_x001D__x0005_*Û?A_x0002_Ö`´_x0017_Ù?p_x0001_ìx¼s×?¤k×_¥Ü?£W_x0001_¡ÞÜ?Ç_x0003_û_x0011_0@Ü?M5©m|Ú?Î_x0018_e_x001D_ÍùÝ?Ôú_x001D__x0012_uØ?©Ê_x0018_¸Ù?éw¦¢Ö?yzôÏ`Ý?$Kr«_x001D_þÙ?_x0016__x0005_I?_x0007__x0002_Ø?Ê_x000D_id[×?Á2ÀÕ Ö?BB$=SØ?ø¸1E_x0008_z×?¬ôÕ3_Ù?Yø),	_x0013_Ø?_x0013_9Ë:­è×?_x0007__x000D_5þå_x0012_Û?&amp;_x0019_V\?Û?7Ã!_x0008_¤Ú?G)ô¿_x0019_QÙ?_x0002__x0008_ÆSø_x0019_Ù?_x0003_EúYÜýÕ?S_x001B_wjE¾Ú?_x0003_Cº_x000D_Y·×?¾_x0013_Ç:Q_x0010_ß?"ÅG_x0016__x0016_æÙ?0Õ­Ù³Û?:\_x0005_S`9Ú?2¶:È«Û?_x001F_&gt;~XúØ?_x0012_Ü*_x0007_×?â_x001B_±ÃLÛ?ï_x0014_.ZeÜ?_x0014_aî_x0010_ÊÞ?X._x0016_àÚ×?\±cD_x0019_ØÙ?´vuãØ?ñs_x000C__x0004_ÿÙ?°îãß80Ú?¤[+_x000B_Õ?_x0014_gË&amp;*_x0016_Ø?8	ÂébêÙ?~_x0013_á·_x001D_Ö?_x001F_Ðñj8Ú?È=_x0005_t§à?*è`ñ_x0006_Ô?'Ö½ªÕÚ?ðÍ¦ó×?1»]{JZÙ?¶npSÞÛ? ä2³PØ?t_x0007_j_x0001__x0001__x0002__x0010_ÜÝ?Ï×üñ_x0004_Û?UfMêDÛ?&amp;êG~¾ÅÙ? Y_x0003_xZ&lt;×?_x0017_Ü_x000E_¯U\Õ?ùñ	_MÕ?Üêõ_x0015_·sÙ?«{G_x001B_zÖ?r_x0003_Ö/¿Ü?¬Mx®×?ç{G_x0019_ÜÜ?_x0004_yvÚ?_x0016_ö5á=Ù?_x0017_)ãÓÚ?2Ï-grÚ?J»ï4_x0002__x0019_ß?¼$$ªSÕ?oÎ*_x0006_$Ø?ì²(KÝ#Ú?Á;³j©xÚ?¬»ý`ÅÝ?ç _x000E__x0002_°zÝ?ûÔC_x0006_SîÙ?T_x0004_~_x0017_&lt;¿Ý?ñ±@pjÙ?²L_x0001_K«Ú?_x0016_®G:@`Ù?CÝ²_x0014_Ë×?÷_x0001_2¼_x001D_õÛ?_x0014_{~'âÝ?	U&lt;uCÜ?_x0001__x0002_ÇH1¡_x0008_×?Èß¸¹_x0010_ÂÚ?6_x001D_¹YgæÖ?Ô.67"Ö?gAÚn²Ö?w¼_x001C__x0013_âmÜ?ÒÕvºMÏÛ?Ôqn28ØÜ?mYãTêÍÚ?-»)_x0018_£Ù?~É_+õ;Þ?!_x000E_jòÝ?sð_ul©×?5µ¹_x001B_nÖ?ämJ6CÖ?ÿc³eÅÑÜ?Ñ_x001D_¦O6þØ?'/ì1Ú?3½Ûz_x001B_mÛ?Ï_x0003_~ ¢Ú?è$_x0010_ØO¶Ø?CÔ.I®Þ?]ÈeàòÚ?Ý_x0016_¡._x0019_,Ú?_x0011__x0011_»¨Ú?pJ³ÿ¹ýÖ?Vvu"çÏÚ?P¶Ø?î²Û?ÂYU¸LxÙ?æ¨8Çw×?%BæÀwØ?Æhr_x0001__x0006_°º×?þ	rpRFß?yð__x0014_-kÚ?û8Ð=Ø?ÌÄä×?µ¶$Ðç×?méCòÿÚ?£_x0010_«ìÜ?_x001E_»Þ8_x0002_eÖ?_x0013_Q$LÕ?¯ûØU%Ú?_x001E_f_x000B_WØ?±_x0018_"úbUÙ?¤ï¸&amp;OÚ?ÅtÛ/Ç_x0005_Ú?óÖÏZÄê×?'.ò _x000E_Ö?Vrèä²Ù?zP&gt;¥ynÝ?á¾ZÈÜWÚ?À3Ôëä;Ø?_x0013_ìRj_x0004_lÜ?_x0003_t_x0008__x0012_AØ?ª_u_x000C_W4Û?ßp;Ý?_x001E_\ÆM#Ø?rå_x000E_¿_x001E_CØ?=HÆ_Õ?Àz%7xÖ?CÕ¢çÎm×?_x0002__x0015_[îÚ?VþÝ?_x0001__x0003_Ê³_x000F_Ù?g\_x0002__x000E_NYÙ? ¿ß_x0017_Ú?HÖü	£_x001C_Ü?o:|_x001C_ÕÛ?Ôá¿µ$yÛ?ïºvKÑØ?R]6 ÉÓ?Y_x0010_§M.;Û?_x0008_sçÜ_x0006_üÙ?5?&gt;¤«×Ø?$Q_x001D_Uö_x0017_Þ?-Gp¹h½Ù?¼Ñi±ÈeÚ?§Î·ÝôÙ?_x000F_õµØÚ?úh1ïàÛ?ã½r_x0003_ßØ?vZðê_x0006_ÖÙ?¼0àÿñÛ?Ý_x0018_ÂwWGÝ?_x0011__x0019_4Ûj×?©5T2a^Ú?µ5©pÛ?Ä	_x000C_üÕLÙ?_x001F_Ëù_x0013_ð§Û?µqáE_x001E_bÙ?=µÅ&amp;¨_x0003_Ù?YSAYãÛ?#ôÌbæÖ?ü¡¸öááØ?J"5_x0004__x0006_ð7Ü?¾_x0015_ûd­_x0013_Ú?q:è¡_x0003_×?»Qº_x0018_#­Ø?ÐÛê£÷Ø?&gt;±jÿbïÚ?ä«4_x001A_»Þ?Lpê\ÖÃÛ?ìvâ³DÜ?@ãþS#6Ú?¹_x0006_Ún¦]Ù?_x0005_© k­Ö?,|üg½¾Ö?¿:5y}×?¤v¯_x0004_CÙ?#¶½gøÛ?¨µ8`ÂJÚ?_x001E_7Ã¦íoÕ?J8.ßó5×?+ÖÂ_x0013__x000F_Þ?«Þ(yM¨Ý?9|ì"lÛ?võ~±_x0002_sÜ?Ã_x0013_ý¸Û?Ä_x001C_»_x0004_!öÔ?y¯ß(_x0018_Ú?Ú_x0002_ôb_x0014_%Þ?_x0016_Í_Ô7}Û? @düÃÕ?À_x0008_mòóÜ?C6&lt;_x0001_3CÛ?½b«ÊÚ?_x0001__x0002__x0016_#_x001A_ê£_x0015_Ø?bÅb³&amp;Ù?0 +oÄÔ?¬chÇ%Û?ÖâÆe`Ø?&lt;=ðX_x001A_LÜ?_x0019__x0005_¨¯_x0018_FÛ?us?0±×?"DÇ­9Ü?wï1sÅÚ?;¯æÌØ?_x001F__x0017__x0011_ê[Ö?/&gt;_x0010_fÛ_x000B_Ø?_x0005_D_x0003_jD×?_x000B_oß_x0015_O×?_x0003__x0018_Ïúà×?ò$q_ÒÖ?_x0012_âu(_x001B_Ø?L oÏH_x0016_Û?&lt;_x0014_µ_x0008_\LÝ?$ç9°Ü?_x001B_×UÔp_x000B_Ü?&amp; Wÿ_x001B_{Ù?©¤_ãRÚ?_x0003__x000C_!(ãÜ?Ëì;üêÛ?ü_x0004_ãÈn¾Ù?¡3ô#_x000F_Ø?YR¶jÙ?û_x0003_qWn_x0001_Ó?£wÝÅ¨øÙ?­ÕÝ_x0007__x0001__x0002_sÚ?ù-z&lt;Ù?nq_x0015_a$ÎØ?ÃXÙ_x0013_Ù?_x0005__x001E_Bw&amp;3Ú?Aøã_x0018_Ù?©]Ò_x0010_L×?á2fçØ?ÿ_x0010_j_x0006_|RÛ?_x0015__x0019_-X×?ÃrÑ_x0010_Ø?_x0001__Ü¨4Ø?»[h`Ú?_x000E_mÇsû¯Ý?ÿ±	óùÚ?Aûð_x001C_92Ý?_x001C_¨ÉéºØ?H¼	fx-Û?_x000C__x0001_ ÖÿëÖ?$_x0012_PÜ?ñ÷&gt;¶_x0008_FØ?O_x0018_ùÃu×?aH&lt;NOÕ?tÂ3ÞPÚ?jFî5Û?Kì@Ç_x0006_ÖØ?Ã_x0008_vn,Þ?÷¢jmýSÙ?bõ¬·÷Ù?ÇW]_x000F_ô×?_nÓÄÏ¶Ö?_x000E__x0006__x001C_'YÜ?_x0002__x0003_l_x0018_#wDÛ?_x0016_Ís÷_x0004_Ý??çÅÙ?¦s«µÄ¨Ü?_x001C_ñ3_x0015_Ú?£_x0013_¦VYÇÜ?æ\¾·XÞ?w1_x0004_Õ½ßÙ?_\NáS]×?õ2 óÅlÚ?©ð_x001F__x0005_!Û?f98#SÚ?9çUMß?(c¹fëÚ?\£N"*Ø?_x0010_®_x000D_`dÝ?Å[ErØ`Û?9?ÜrÔÖ?¤6]-'3×?¹zrkµ§Ù?Yt}íüØ?_x000D_ú"P¿ü×?ävV à_x0015_Õ?'l?Üã_x0015_Ú?¦Í /jÖ?zgKÑ_x0002_Ú?¨põ=_x001A__x0007_Ù?÷ÏÆè.±Ú?rqÉÞ85Ö?Ôe~´_x0003_¼Õ?_x0012_&gt;ùVêÕ?´H_x0001_i_x0001__x0005_A_x0006_Þ?çuÄ.«ÔÙ?`Å"9ä_x0013_×?Óg.9Äñ×?_x0007_Rf~C(Ø?ÈÁ_x000C_ùH4Õ?óù_x0002_HÜ?_x0004_·ò§=(Û?_x000E_oâÏ	ËÖ?1,Þ\¬¦×?±KÛ_x001B_N!×?Té--Ý[Ù?Ô/_x0003_Wè¿×?yNÅ3TÜ?å_x000B_]¾¡Ù?Ùi_x0019_V#Ö?ÖçttKÙ?Ü_x0015_+ÎÛ?^M×®`Ø?+.ñû¢O×?û'ðój´Ø?ä¾¿6\òÙ?ö2ð´_x0014_Ü?D«'@Ø?¯K_x0013_öÚ?kÖ_x001F_5íÖ?_x0013_rºqùØ?lr&amp;f×?_x0012_ÓxC×?@òè,·Ü?[_x0016_4JpôÖ?ß£tI$ÄÚ?_x0001__x0004_Hp«áúSÞ?(yÝ_x000F_áÖ?äÅ3 áÍÙ?_x000E_o_x001A_àÂ=×?V5yÜ#LÞ?Öf_x001E_¾XÄØ?_x0002_þ¸R5XÝ?_x001B_±ùüÏÙ?:m=,ÄPÖ?_x0011__x000E_\k_x000D_;Ö?©=Gäx×?ñ£¡_x0010_vÓÓ?"_- (_x0019_Û?&gt;9ÅC_x0004_!Ü?üu_x001C_[ï"Û?Ìi_x0018_U(Ü?ïnò5mÙ?_x001B_ð )ó?Ø?®À_x0014_£Ý?!áß³_x0001_×?&lt;ü(Ä_x0014_@×?Û_x0005_®dÜÛ?®^½é¬ß?_x0018_¡_x001B_Ï_x000C_Ú?uQ%_x001C_Ú?Þdü½_x000E_×?8^&amp;K×?¬Pp_x000E_ûÛ?_x000E_ûØ¥Ö?¬_x0003_ys=~Ú?²ÌCY@1×?(ÁäÝ_x0001__x0004__x0012_qÚ?ÿ_x001D_ãéÉØ?_x0002_õõÐp_x000D_Ý?Ð_x0016_AÛ?¸®³qÖ?ÝEn2Ø?_x0018_	?òæH×?ön@Ô?Ù`)_x0013_õ3Ù?Ð_x0010_#P§#Û?|_x001F_£6}8Ù?²t°óÊØ?b*{ËÕÝ?Ü½üåÚ?{ÇR_x0013_ÿ_x0003_Ø?oêÇ+häÙ?ìþ¬]ãß?LR¬Û­QÙ?·ï°ÂñNÝ?ïD±ê8Ø?DümuyÜ?«tFLEüÚ?!ÐÅ}ÙÚ?µö_x0008_3µÚ?kp_x000C_vRvÝ?ß9®õã_x001F_Ø?*¾òy4q×?ZÌ_x0008__x0015_rÛ?Ê!áÄ¨dØ?þfCV~¯×?0È^%Þ½Ø?_x0016_ ÌùßuØ?_x0001__x0006__x0010__x0003__x0011_ëÖ×?½e²÷åÔ×?UÑA_x0011_2Û?_x0018_?hðËÝ?é_x0007_É[DÝ?æg1_x0001_-×?þ_x000C_Ò'Ôî×?_x000D_÷`ÈÙ? _x0002_¤ª!_x001B_×?_x0010_,ñÜ¿#×?_x0016_½Ë_x0001_z³Ü?þÔØÌÙ?_x001E_%_x001A_Ï)×?&lt;rqÜÏà?ÔÜ­ôùÒÙ?_x000C_~pf_x0002_~Õ?WÐb-»Ù?3¾ Ú?­S-Y_x0005_xÜ?éùû5*Ý?Qö?ÈzÚ?Ït_x0004_¹_x001E_Ô?´a@_x0002_Ú?_x0006_uÁÑØ?Îì¤Å¬Ø?¢è?0¹/Û?-øáN_x000C_Ú?ÈJú°u_x000D_Ø?+E@5XyØ?_x0002_ZYàûÕ?ÔDY q¹Ú?t0_x0019__x0001__x0004_WÂ×?¿á{_x0010_äØ?ØËÝÙk¼Û?_x0012_þÄs×?búBîÏ%×?_x0006_3âþ×?ì_x0006_r$!_x0004_Ö?Fñ5Ò_x0001_Þ?È¾þîlÙ?d·ãXÕÙØ?D\tôc_x0004_Ú?Tü_x0004_©fØ?ï¡³³mòÕ?ÐýE]ÊÙ?ùZØ»Ú?·_x0005_Ë+}Ø?£@îü_x001B_ÂÙ?ÜXÉ_Ø?ùs	¶_x0007_Ø?S-áßÚÙ?zµ:=Þ?l9eK_x0001_îÝ?²öÑÇ_x000F_üÖ?4ÀÖdÈ_x001E_×?ú@­cÚ?_x0002_ñ&lt;wn Ú?Ë­ñü#ÊÚ?âÌ_x0003__x0010__x0015_Ö?+ahÛDÙ?kMû_x0007_SÜ?ÇÔZJØ?_Qz¸Ø?_x0004__x0007_*6W_x0017_Ý?ªÏ8{°Ö?_x001B_GU_x0007_KÓ?÷ýâR@Ö?ÞÄ_x0013_N_ÆØ?øø¨#_x0002__x001A_Ü?\±ë¹	6Ø?î4ë§TØ?æÀ;¹Ó?_x0008_}f5?Ù?þ_x0005_Tí£Û?Òá_x0001_Æ½SÖ?Rv-_x0003_êÙ?ÏÒ_x0006_M¨Ø?tÉü	_x000E_Ü?=s9ÓÜÝ?þ_x0017__x0018_¾`ÓÝ?_x0007_ÙfÛ?ÙA,YqÙ?%}²rYØ?xåòU_x0013__x001E_Þ?H£_x0017_þMÝ?ÝqF_x0005__x0010_ß?À¯ÙÂyvÞ?`v0_x0016_«ÎÙ?Rðg_x001B_îkß?°óS¦/Ö?Ú?CYÚ?`ñébÖ?¸ºÁoÚ?*!¿Ò×?.¤µ_x0012__x0002__x0004_Ù?_x000E_L_x000D_/ìÚ?ö_x0016_gÙ?_x0014_öææºÖ?_x0004_N_x0019_Q$BÚ?Jµ^_x0005_dÙ?Ëùß»Ú×?RI_x000B_çaØ?_x000E__x001C__x0001__x0017_&amp;WÖ?Z=ûÎ:Ù?m9cÕ¿Ø?_x0004_ë&amp;Ù?Q_x0015_4_x0010_Ø?_x0008_âiåµ_x001A_Ý?û~4_x0010_Ö?&gt;9_x001A_i´Ù?=_x0010_D©]Ú?ÿg_x0001_vø_x000D_Ù?_x0003_ÛõÔÝÙ?ðaÐi¤Ù?c:BØ?ø·Ë;$NÜ?ÛË_x001B_®ToÚ?é(_x0015_Ë_x0004_;Ú? ,Ô£%ÚÛ?ûL_x0002_{£	Ø?Æ{ZWçÛ?	_x0003_}µvÙ?^?(öÔ?uÂ_x0013_×ß_x001A_Ù?._x0006_8ß_rÜ? å_x0019_Ó!Ù?_x0002__x0004_"_x0001_'Ú7Û?èá_x0007_¶*Ø?a;É_x001A_cÛ?ÅhÖ\tÛ?jàm_¯Û?e¬2cÜÙ?&lt;_x000B_hälØ?.Ê\Ë$§Ú?öH2ñ_x001D_)Ö?C_x0013_æ+ÈØ?]»NfÜÅÛ?_x0011__x000F_ßO¢ÜÛ?]G9ÏÕ?	_x001B_õ_x0012_4%Ü?_x0012_ÃãêºõÕ?¢_x0017__x0004_é_x0010_Ü?-óo_x0016_°_x0003_Ú?Ø5èÊÒÚ?_x0013_ñßOl×?_x0007_n(!%oÖ?V¨'C"_x001F_Ø?ZL%_x000C_×?_x001E_´üuôÜ?ÜªÂ½$Õ??R,ØØÚ?_x001C_¬e'XçÔ?&amp;2(_x0012_1ªÜ?_x0016_Ý_x0006_xÙ?º_x000B_ëèiÌÛ?¸v6&gt;=Û?ÌdT)ë:à?°µd_x0002__x0006_f_x0001_Û?2üL7ÌÕ?Ïé"\ _x0011_Ù?;©E¯ãÏØ?¥Â£Â_x001A_.Ø?ùÉåtÛØ?Ù³¥)õÚ?xöÀÖ?r_x0005_2	l×?ª¶V£	ªÖ?®8Î*é¥Ú?yéæªrÞÚ?«_x001F_ÝÖ?Â´_x0007__x0015_ÍàØ?yÃï*[_x0008_Ü?ïôgtØ?^ü§;«Ø×?_x001B_6_x0011__x0013_57Ù?íGÍ_x0010_ôØ?&amp;_x001E_»ãAÙ?_x0011_cb_x000E_jðØ?®sãâÕ?_¤6_x0004_Ù?÷?Ù`EÚÖ?Ãì7ÓMØ?f_x0003_t%:1Ù?LL_x001B_ÁÛ?rtÜP¸_x0005_Ö?«Å=çµÝ?&lt;âþyñ£Ø?ôëm_x001A_Û?Cdñ½_x0012_Þ?_x0001__x0002_(8¢ètöÜ?×f·û¼Ü?_x0017_C.²@+Ú?_x0014_ÿØ?ÂISB3Ù?c¾ð}_x000C_DØ?0Ò? .,Û?¥²ð/ìHÙ?\&amp;8à"Ó?;ð0ó_x0007_×?bDG·Ç×?_x0007_ü¸FÖ?Påø÷¶Ú?Ü£çL*{Û?òM_x000F_Î59Ý?ê_x001B_ÈðûNÙ?¾9Êû~×?¼üý¹ïÛ?#'ÃÆèØ?Bþr4ä_x001C_×?´_x0001_#XÄ³Ø?SdRr{¤Õ?ºo])ZèÙ?òMr_x0018_É/Ü?²21@_x0016_Ü?º4]yÙ?ÎV zÓ?ï³°?:Î×?mp1;Õ?ïAL¾Íe×?_x0001_ÁEq_x000C_ù×?¼Í_x001C_Õ_x0002__x0006_4Ø?ü+w%UØÔ?&gt;_x001B_SÕl;Û?½\~°ÆPÛ?oië6}Ù?e'ã_x0011_×?aÎ¥hg×?ÈëTdàÕ?1vvvVÝ?¨_x0001_*_x0002_(Ý?ªk_x001E_¯äÝ?`ô_x0004_EÕ?cþ=3°Ù?à_x0005_ö_x0015_Ù?Ô_x001A_Z5DnÙ?#°52ª_x0003_Ù?QÍ_x001D_óÚ?:4_x000D_v{Ø?R{3 6Û?Å_x0003_ç_x001E_ÊÜ?º,Öá_x0004_pØ?·_x0013_(Ð·âÙ?ú:É§_x0015_	Û?a}cH¡Õ?!~i±KüÜ?-àÈ_x0006_VHÙ?úo±Ð_x0004_Ù?I_x001F_È(Ø?Pì¤¨ë_x0007_Ù?ôæ$©5Ü?j©ÀEÚ?§X`ý_x0007_Ú?_x0002__x0003_Ììc/ÒËÜ?V:l_x0013_èÔÜ?ü_x000C_ñIÈ8Û? ÌõIëùØ?ùÂo/±Ø?_x0001_»Ò,@ÜÞ?Óç2)ê_x0002_Ø?2á¾Ã9_Ö?«Nc4.Ù?×é_x0008_Xõ·Ý?à¡|_x0004_ÙÚ?Ñ~_x0010_¥]&lt;Ü?{²ç÷(Ú?EK_x0016_ßÆÚ?l&gt;gºöÙ?_x0017_ÒKË_x0016_×?àðTðÚ?o¥S"_x0005__x001E_Ú?ns7f`Ô?@pÊÿ! Ù?ö8¸§M¥×?Î_x0005_;s«Ó?¯6{_x0016_Ú?/Vd	!©Ù?_x000C__x001D_ò4_x0006_½Û?l{§$_x0015_&amp;Ü?ÛîW\Û?Züc30¼Ø?_x001A_­¿|Ö?ëùÔt¿Ü?«BËV»ªÕ?úî}_x0001__x0003_ÚªÙ?¦_x0006_¥ç_x001D_Û?Öd Ø?8FÂt¿_x0014_Û?æ_x000D_ýbÚ?Ã_x000B__x0001_ÜØ?7Í¯ló-Ö?Ø b|!-Ô?6UÃ¸&amp;_x0014_Ý?r!_x0015_C¾GØ?ÚiÛ«´¥Ø?_x0002_ï2jµ@Õ?e_x001B_ôÌ×?îPW_x000B_Ù?_x0014_OT¡Ø?9-ùgfÝ?4d}ÞfÙ?6âJ8_x001B__x0011_à?_x0010_û_x001E_:U¯Ø?`ñ©íþîÛ?Æ_x0016__x000E_P96Ù?¢¥æ_x0002__x001E__x0008_?¿÷Y__x0019_ü?«_x0018_	_x001D_ ?.;ÿ&gt;N ?pâ_x001E_ékg?_x0018_¹A3 ?HûvàÓd?p±È±÷?,,mÉET?¯_x000E_OÄ¡?Ñ7Û_x000C_î*¢?_x0002__x0003_ÊQð`ÖÔ?_x0006__x0010_G¦l ?p_x000E_§Á_x0008_?LW¶Æsº ?üÔ_x001E_Vj?oÏÕj¥?Ú*_x0018_C?_x0018_±_x0003_µp?äqðàö_x001F_¡?é,[¿H_x000E_?_x001B_´Ðe¦?¥F}3_x000F_ö¥?Ì_x000B_«s?öX¯Sé)?Ä_x0002_V;?_x0006_£ØL¥?d¤¨_x0001_ìu?59ð¡?LÎ)_x000B__x0015_?ÄNÕã¯?êj%*6*£?Ù¡ãJÞÆ¦?Ä@´&gt;ÈX?Ýê_x0001_Fu¡?nÙÄë8ú?õ×V_x000E_í ?¤_x0018_ÑÊÎ«¦?%p"_x001D_¼g¡?(òv_x000E_lC£?£¿âõç¢?l_x001A_«àúý?_x001D__x0002__x0019__x0001__x0002_]ß§?e_x0006_¸Äëm¡?*çô½?nb`¿Ãµ?ÏUø¤Á?zü\®?{OLØ`¥?¤UD'Ö¥?_x000B_¢Ù2Ð?ÖÚyO~w?_x0008_­W'¦?rbü7Än?¥È#½ ?_x0008_o/z¢?­_x0008_å­Îö£?ä1+eÂc?ÔîÎ_x0017_~²?_x000D__x000D__x0015_!d~¢?Òñqæÿ?Jr_x0007_ý?b_x0006_!Ó·!§?ÇÚN,à×¢?t_x001A_Èºb?U_x0003__x0007_´ ?pqºC4?è¤¶ï^?iX(·Þh ?Å£XV_x000D_Q¢?­ÕcFG?¤ý_x0001_f¢?Îh7Ù¡?À?,_x0006_uÊ?_x0003__x0004_J`v÷åí?b¼N_x0012_ô?ê_x000D_Zi#?_x0001_×ÿd »¤?l_x0018_°_x000B_K?ï_x0006__x000E_F]£?6Kpåß??@:c;I?Ö:Ù_x0012_¡?:X\àöù?¢ÁÐP3?_x0006__x000E__x001B_.zj£?\jEÞû?_x001E_¼NÎÅ6¡?Ç&amp;¼Ù?²Wk_x0002__x0005_¨?º5_x001C_`F?_x001E_N:ý·_x0018_?Æî­]V?äg_x0006_6_x0002_m?¸~)P"?ÜrªÂý?B´ÿ¼|V?rÊ§SU¢?_x0018_N×¬3£?.%£E¨B?swDÛ*ß ?¸Õä_x0002_Ù3?ð©è_x0015_¡?p_x0016_³÷_x0017_ë?2Í¯ðh?_x0013_Í_x0015_Þ_x0001__x0003__x000F_?+i6k¡?_x0012_M_x001D_OÃý?$»å"Ó*?_x0003_¯á}!?Úg&gt;^c&lt;?²×6 ã¤?0´åáM?_x0017_vÄ$#¡?fàÛ¯?Ø)$Ñ"?üsR'1?Mà #]?i_x0002__x001D_j'N?P´2Ð?Ú_x001D_@_x0008_° ?Ú_x000C_÷­T?IGû5ë¤?ï ï/½W¥?$Ø6?05Ä·Ñ¹?Ø×¬E_x0008_?_x001B_5£T	?ä_x0006_åb=?_x0003_8_n­¨?þJ_x0018_/)¤?Ir³Î À?ÂîÈ6?p _x0018_?ø_x0010_fÚ$?°ñºoçX?ÿmÏm?_x0003__x0007__x0006_¡àéDÛ?fÞ¡_x0003_C?Wä_x0005_K?þ_x001F_5.¦_x001C_?î-¹¬ß¤?Ò\_x0013_ö£?liQB-?^a_x0015_n!?N£_x001E_Öü¼?$Þ4Ð/2?_x0019__x001D_XÙ&lt;¡?4ty²µt?_x000C_¦¾²ÿ?_x0002__x001A_WOP?²Õn_x0019_W?ÛyÜ4Ü_x001E_¥?E`¢Ï_x0007_§?_x0016_ï4?_x0018_X¨_x001D_Zà?Ép_x0001_»|¡?n_x0011_W&amp;¡?y|_x0015_ â.?4Û#òú?ð((E_x0004_?V@HiÖ)?*mÓïK|?_x001B_aéù&amp;Ì?¦ýÆÒw)?_x0002__x0019_ê_x0001_?±zÇ?J_x0019_÷^±?Ò^ÅÂ_x0001__x0002_úÆ§?+Û!£?Cå#LÔ_x0003_¢?BxiÁ _x000F_?êçÚ_x0011_ë¡?^¿C0_x0003_?D_x000B_Ý0²«?f-F_x0018_:?z 7Æ¬?tüF_x0016_?ÄÌy"?ð@÷÷X?Âî_x0008_»çÇ¡?!Ø__x0017_ê?6Væ	_x0013_M?ÊÃ_x001F_,?_x0019_­Zµò?_x0012_5x_x001E__x0015_Æ¥?§å¿Íö?ü_x0017_ón?³Þ1Çx£?f_x001B_Î2uc?YÃpÿÒN?õHþÔ?¥V·?e« ?_x0012__x0017_kÌ)à?ÇÃs?JJ_x0007_%u§?.êùsK:?ïØMg?ö{{}º¢?²Ne9q£?_x0002__x0003__x0007_t=+o¤?_x0014__x0006_{Ýò?_x0014_Mÿ¿!x?²s^s¢?^Gu+p­ ?¾_x0013_¥_x000D_íF?:rQ:BC?°¦1È ÿ?nD_x001F_â£?ØÀ1Ît ?G(KG7£?®Hi¤zÎ?!º_x000E_UR ?QÑ­O¹§?_x000B__x001A_Ê®ª?¹ue?¶æ_x0002_.?(¥?Lèè÷D?b_x0002__x0006_fIx?ö[åëþF ?mììl±ß?õcÙHò?tü¿6ôÕ?¤e­a?)x_x001E_9_x000D_/?¢!õXÊ_x0001_¦?N_x000D__x0014_Æ±L?ü_x0001_sCå?H_x0018_ÑE¦9?Ð¬1÷?rZ±Ð_x001B_¡?PÞ¿Î_x0001__x0004_¬ñ?_x001E__x0014_ÊñÌ?¤önÓ¦?$ÏZrµô¡?_x001B__x000B_+_x0016_ðM¢?F­OJäë?R?_x0010_µl&amp; ?e_x0007_JÍ³?L±·­c«?G6-Åø¤?æÓØ_x0014_¿_x000F_?ö*·-\¤?^6_x0001_r]?@Ño_x0016_¶? ?BnìPr?¢äaFJ?æ­µJ4?ô~ w_x0002_§?½d7í¡?þ§Aæ4¶¡?¾_x001A_´-x?ü6P;0Ã?Zý_x0008_*j?_x0014_+Z_x0015_öÙ?£¡__x000B_H£?Üu_x000E_ðI_x001B_ ?º_x0017_-_x0015_´f?_x0001__x000D_­è÷g?LÚl__x0004_'£?ÁÒÿ_x0011_¦?k_x0010_K_x0003_Gø?Ù°t Y©¥?_x0001__x0002_TwTÀ ?pjm»?áy_x0012_£?_x0017_ .çÝ?}R Dg¤?6ß_x0013_½¶Ý?ª_x001C_x©d£?2¶_x000E_jò¿?Å_x001A_c{:?ënÅo'X¦?;°&amp;E ?¾á%bùß?"_x0019_Ì¥_?päX_x0007_×?D&amp;dB_x0006_	?Üº@_x0010__x000C_v?µ_x001F__x0017_¶Ã?|¦nØC?T_x0001_/±¨I?_x001F_öÀc_x0005_?êgË÷?÷_x001E_$¡?MÒòþ~U ?ïÎåJ° ?²°¸M_x001D__x0006_¢?&amp;I'rî?_x0005_ñðx_x000C_«¡?âòÍi=?	#L ?_x001C__x000E_ô+p?£_x000F_yð_x000B_¡?=æf_x0005__x0008_é¤£?¬m	"Pý?hÈ&gt;	µ¤?Ìí_x0010_;_x001B_$?ü6µå/B ?CQ.ë=£?&amp;64#??_x0004_)¹%¨?r_x0018_I&lt;¨¦?LÆå$¥?8§ìâ_x0003_î?³_x0004_Yõ_x000B_¢?Ow&amp;¹Ã¤?aÎ¸·_x000F_e ?~æHj_x001A_?_x001F_ÚC¤ðÝ?Õ_x0006_u_x001A_ì&lt;¤?hûvKÞ¢?aÂ-í_x0014__x0012_¥?P_x0018__x000D__x0007_Î_x001B_¤?_x0001__x001A_x¸Å2?È°)z?îz¦_x0013_?,&lt;÷¥}»¡?Ìÿ$ï¾?Vaòäí?A³·_x0012_?(_x0002_/¡[?þ_x0006_½æ?Ø¤?ös_x0001_¤Ê©¢?äz#,a.?	Í~OP¦?_x0001__x0003_¸_x001C_"òè?¶ºMcq~? c¢\0¥?_x0010_ îU½Ã?_x001C__x0008_ð_x0004_qY?_x0012_ªµD?ôèT§_x000F_^?_x0016_ñ_x0002_:½?ö_x001A_+í ?ôîºÝ??_x001E_6ôsI§?kÓÄÏ"¿¡?XDÀU_x0008_«?_x0013_¯`¢?ÞPIÈo?:)¥kû¢?íNÃ_x0004_?.ë9¬Îá¦? 7iþ_x0004_?¸(ô¯1Å¤?â¶Ð_x0019_?¸¿ñ¦¤? _x0017_pBB¥?ìfâOq.¤?bW_x0012__x0001_O?²?±W£?àé¤/z?ç_x000F_öä_x001A_£?\&gt;¤O¤ß?_x000E_¬î²?jiqx?ã6ð£_x0007__x0008_Û¢¡?;/\½?[I0êÝ·¦?¤ ÍÀ_x0017_¥?_x0002_¹eÀ?_x0018_kë®û?â_x0013_oi[_x000F_?V¬uÞÉ?_x001C_­Ötc?i_x001A_ý$?MÜige?@_x0006_ÿÓ­¶?4°_x001A_ÖÏ6?×!ñFr¢?d«¼_x0014__x0001_¥?ju~_x001B_Ú5?P_x0004_÷_x0019_e)?4ékbn¦?¾à+ï·¿?1juÞ~{¢?	T£ ?_x0016_Ïð®ÛD?é&gt;ÔNÓ1¤?\#z4Ú?éþ=ûF?x;	L'?_x0014_cD&amp;þ¦?cØ_x0005_*_x0003_Ã£?Ó2Gf'?XâI_x0011_Õ?_x0005_òÍ÷{º£?_x0004__x0001_"+ÒD?_x0001__x0005__x000D__x0004_¬+{ ?ì¨ëØúÒ¢?zÐ1t_x0006_`¡?«h!*^?ÊÅC_x0017_Á¡?Õ_x0010__U?×Õ_x0008_6.?Wõ_x001A__x0012_gÃ¥? Ó»É#_x0013_¡?Ò®"¨?Ýû¯_x0018_îª¥?_x0010_=n±dË¢?G_x0003__x0006_90I¤?J^åQ÷ö?_x0002_z½/T ?_x001F_×@a_x0008_ ?Øv¸ùB³?_x0005_e0Lþ£?NI*g_x001F_}?k²!*~8 ?­¬_x0002_½¥?[öù_x0010__x0002_£?Â_x0008_¯ÔZS?~¥1]?_x0004_5k_x001C_Û?À;UÑÑû?I_x0010_1CMl¤? _x0016_l¥?P_x0016_Êjí¢?[%@BÖa¡?_x0004_9@f?Ü_x0001__x0002_©c?;_x0012__x001F_UÓ?Õsuï'6§?_x001F__x0013_ótôü¡?Î3M)_x001F_ô¤?-úâ¨¥§?¤Qÿ_x0016_N¨?Äù1Ü:ü?_ÏP5ô¡?b¸_x001D_?®L@6i¯¤?·Û_x0003_dH}?Ää±aS¤?&amp;"0ÕvÊ?ská#iµ?t_x000F_k_x0018_óÊ?W\ÊÉ8¥?þH#5hÆ?(ÆG_x0007_ô·¢? ÅÕ# ø?NÍ6_x0018_Òù?]ZÞ%ïâ?¶o°÷§_x000C_?¢&amp;c´¢?H_x000C_¼XÊå?5OzF?ÊgëÞö ?dÜ1ß_x0001_?éxÉ³7ô?÷¶óäè1?_x001B_Wæ"¦?ì_x0005__x001D_ ²?_x0001__x0004_i×ó³Y¡ ?B_x0001_Y½_x0016_?¾î'_x0017_&lt;Ý¡?(8~Uþ_x0003_?î#_x0016_?ª'_x001F_n_x001A_?ÿþJ ø?_x000E__x0015_å«ù~ ?ÿîGÿ_x0019_¢?Ìm_x001D_±Þ£?|ßâe¾_x0014_¤?ôë._x0016_­?ºluwt_x0005_?Fñßx_§?É³êÂ5#?pì_x000C__x0001_ ?¤_x000B_îa/æ?l¦&gt;FÊé?w×ã»Ì£?,NØ_x000C__x0003_ ?Bê	­[w¦?á_x0001_5!±Ê¡?é_x0018__x001D_©n¤?_x0002_³Å@i?ì£+Nù?Érp/ù?ÆçFÞYB?.]_x0006_[T¢?ÌkMàä¡?.þùé&gt;?àf×th??Â\í__x0001__x0003_[?y9}`ÃY§?Ñ*À5±&gt;?_x0001_*Ñ¹ê{?ñmco©¡?Ì_x0011_/_x0004__x0010_?_x0003_&gt;_x0015_ÿ¯é?AnUF¯ð£?¢¦AÒ?U_x0005_e¬)?+Ý[_x001A_êã?8_x0001_8M?_x000C_#_x001E_*ª£?É^÷L,\?Vùæb?pm®kq?_x0001_ódG¥?Î&amp;¬Ò?·ûh-Ò?êáð_x0006_çÐ¡?åhZ­_x001D_G?²¾t3Ê?º'yrò§?"­Òq?m&gt;ËG/¡?4_x0015_úÃ_x0008_?Jòfå¤?òM_x0006_ì¥?ÙÑ_x0016_§æ½?¬Ã\í¥¤?_x0002_ùÿ{+?®__x0015_­)?_x0001__x0002__x001F_rnZ?_x0014_7_x001A_±_x0013_?&gt;hÊ3"¢?_x0015_¾îùà¡?fj_x001B_È__x0001_?_x0002_ÊM_x0014_D?G»ü_x0016_)¢?ì!ªUé_x000F_?Ú_x0018_pÈs?¨#ÉNO?_x0016_x[Æ¢?Æ»¾i¸H¡?.aÁ?§âîuG?zÉ¬_x0003_²l¢?_x0005_ä8_x0001_¡?_x001F_9Üh_x001A_£?ÿdP`§û£?­Û ?Úª7·_x0002__x0016_?Ê ÎÅ8@?§Æ¡t²ô?`|_x001A_;_x0004_?tR_x001B_a?Æ¢a_x0004__x001A_ ?¿$_x0004__x0008__x0017_ ?¼nVj_x0011_?®_x0012_.uºÚ?µ°_x001B_8_x0006_?È¸ãï¹?z_x001B_ñ?éï§?~ù:_x0007__x0001__x0003_I_x0008_?nòÅ_x000C_Äû?_x001E_Ñq;ì?_x0018_É]cÒ&amp;?ª.Lò =?äÜ­f'î?_x0014_ëÌÐ ?4×_x001D_¤U?ÜõDñ&amp;_x0004_?ôó_x0012__^?döØ^X?_x0010_þgp­j?^`_x0010__x0019_ò?_x0004_Nß ?6c¾ ã?þAË9`£?,­º,ê?N@²ÚÜ?ôöÒ.ZÂ?_x0008_C_x000D_ÿ ?_x001F_yp_x0015_Í_ ?ve.¶¡¡?_x0018_-ÿûÀ_x0002_¡?®.ßDä¥?úæ6_x0010__x0013_ ?r0÷5O_x0007_?_x001E__x000F_k3I?Îm_x0012_ø_x0004_g?&gt;RyJÆ?ÍÈøÙ?Þ&gt;E_x0002_Ø ?·G®£?_x0006__x0007_¿ ü_x0004_­o?BÂ²_x0002_U?6_x0017_r_x0001_.i?T¾á%?_x0007_cÓ_x0005_®?WÓãã­_x000E_¤?yDdÅ[@¦?_x000D_´_x0003_ö_x0010_@?t_x0017_æ_x0001_?â5I¢¡_x0007_?Üº_x001E_R¹¥?ï_x0014_Wµ?Õ\_x001F_ó&gt;¼¢?H½_x0002_«4=?Tì~Möç?!z{,N_x0013_?AÏï!å?_x0014_áô_x0019_5«?:±°Ö_x000E_Ì¤?Þ¸%_x001D_?þûô_x0005_à?JÍÁsá?æ&gt;ò_x001B_qó¢?h· _x0014_¸¥?{WOx¶u¢?=ßöf­J?H´_x0006_9_x000E_ ?ßJïÌ¨,?ô_x000C_¬dW¨?fÍ_x0018_Ð?ÒJ_x001C_Ô_x001A_Ë?l")ú_x0003__x0004_`¦?±b_x0004_Yå¡?,±ÕU7¦?U_x001D_9v4_x000E_£?«e_x0001_OÍ?Æ_x0010_ù¹«?¢AvÆßä?ùl4Å¬£?I_x001D_Y," ?_x000C_û½¦Å!?&gt;&lt;ÇÄ_x001A_â?¦_x000D_ä|Íõ??ïX2Õ?`_x0002_7B?&lt;_x000B_~_x001C__x0010_?»Ç²_x0017_?¤_¿s_x0017_?^LH_x0019_5'?üzxz× ?_x001E_û AðI?XÚ_x001F_8í¥ ?*Poa?ÔxÞ´@Ö?&gt;Á¬só?_x001B_X(_x001A_¦¤?¤8_x0014_Uû?&lt;{øV¡?ø»¦+_x001C__x001C_?ÀF¶ÞyÖ?±i95}?b_x001C__x000E_ô¡?Pu¦.Ú?_x0003__x0005_¸_x0002_]IQz?@ü9é_x0001_â?Fÿ&amp;/î ?bqôFä_x000F_?ÌGf+_x0007_¹?F~µÇû_x001C_?_x001A_3õ`&amp;_x0018_?_x0017_à_x0019_ÒÕ?üî_x0004_÷³?Û Åú?\4'ßÖÉ?Èw_x001F_0Ãf?\êÉ[üf?nÈeÜÞV?Ô*_x0013_LgÇ?S@o1_x001C_¤?h¾ëEj_x001B_?¦Zz4_x0004_?vîf?8G_x0004_Jë?_x0018_à¨GöÂ?´î?_x0006__x0008_?BÐ_x0015_eX?m_x0007_pN_x0002_?ÒÙZÑ6 ?Æ_x000B_*Ä?¾_x000C_0SÅ4?ø_x001A__x0013_óÒ?_x0017_zä_x0018_v:?¼_x0006_ÝA«Ê ??Ô?_x0004_£¦?H_x000D_AG_x0001__x0006_âø?_x0001__x0010_°KG_x001A_¦?4Ë,4pÕ?Êó¨Sá?âQ³þ4¨?©_x0016_Û¢_x0015_¡?dðnÒY?¦èÅ_x0002_. ? ù_x0004__x001A_õ?:éÆb_x0002_\?_x001A__x0012_á_x000E_	?_x0005__x0017_\!Æ2¡?põ8'{?¢ÿÿà4§?óæ«&lt;G¢?ò+¸ÈÈ$£?ó¿PBFè£?_x0013__x001F_ñ½®Q¡?¶ºë}_x001E_?NvW©?_x0016_y(Åß?g]8s_x0019_?+t'?L_x0004_qèÞù ?+Vp$h»?§_x0003_8¡?j[v¶Ã ?®f¾_x0003_²°?úâU_x0003_H?b*ö¢BB?Li`¯__x000B_ ?¦_x001A_ÞöÏ?_x0001__x0002_[!Æ[_x0015_Ó ?túO_x001E__x0014_ù?@:ÿ±U»?fôêðÔÅ?!xõÙz?cÓ0ÿ_x0007_E?R«Àóüv?; ?éð=¦? _x0003_Ùr×¢?Â@(R+c?ÿÝë"é?ô}HB¨°?ØeYÄ?7_x001A_¶ï÷ñ ?É]¡Y²_x001E_ ?&lt;f-ý¨?X_x000C_'6?6âC:~¤?±Ué¤Ùº?§µÒ4ÈÑ¡?ú;ëÃ?_x001C_çÝNqr?dÍ²_x0016_#G?dTñ­²?BÐ}¶ãØ?%uÌ2 ?Gódd?nÄtQã?°³rü4é?6/=21$¤?nz¼×XX¡?ÖÀ¯_x001B__x0001__x0005_j?_´_x001A__x000E_?ô5q%_x0014_?^_x0003_m¼+ ?_x001C_­©_x0002_ZÈ?X÷îq_x0014_-?-Cÿ_x001C__x001E_ì¢?jHgjÌ£?âU5+t?úhfßÌ_x0018_?_x000E__x0004_¬_x0012_Ó£?v;E3ó¨?,ó_x0019_}Wb?Ò6g­£¢?Ò}RÊGB?»ÙrÝA+§?æB_x0010_"Cõ?&lt;²Ò_x001F_ãi?ö£×}_x0007_¡?ó«eCºp ?k_x0003__x0011_Úå=?®ñþ?EË£?*¿l_x0008_?¸_x0016_Óúv·?°¬u8?P_x0011__x0001__x000F_¬?_x0004_cÌs ?ö_x000E__x0014_áí?_x001E__x001A_Ûµäa?©_x001F_ÍÙF¤?OP+!_x0003_L ?</t>
  </si>
  <si>
    <t>f7dee3d03cd3e97c79d0af4b4ddad94b0|1|43806|2058129d025eab7c21a6f0d14b573038</t>
  </si>
  <si>
    <t>GF1_rK0qDwEAEAC3AAwjACYAOgBJAF0AXgBsAHoAkwCzAK0AKgD//wAAAAAAAQQAAAAABiQjLCMjMAAAAAEJVG90YWwgTlBWAQABARAAAgABClN0YXRpc3RpY3MDAQEA/wEBAQEBAAEBAQAEAAAAAQEBAQEAAQEBAAQAAAABfgACEQAJVG90YWwgTlBWAAAvAQACAAIAmwCkAAEBAgEAAAAAAGoIQQEAAAAAAADwfwEFAAEBAQABAQEA</t>
  </si>
  <si>
    <t>P(NPV &gt;= $300,000) = 51%</t>
  </si>
  <si>
    <t>Mean +/- 1.96*Stdev/sqrt(n)</t>
  </si>
  <si>
    <t>Performed By: Sahil Desai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</si>
</sst>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5" formatCode="&quot;$&quot;#,##0_);\(&quot;$&quot;#,##0\)"/>
    <numFmt numFmtId="8" formatCode="&quot;$&quot;#,##0.00_);[Red]\(&quot;$&quot;#,##0.00\)"/>
    <numFmt numFmtId="43" formatCode="_(* #,##0.00_);_(* \(#,##0.00\);_(* &quot;-&quot;??_);_(@_)"/>
    <numFmt numFmtId="164" formatCode="&quot;$&quot;#,##0"/>
    <numFmt numFmtId="165" formatCode="0.0%"/>
  </numFmts>
  <fonts count="18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4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4"/>
      <color indexed="47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.25"/>
      <name val="Segoe UI"/>
      <family val="2"/>
    </font>
    <font>
      <sz val="9"/>
      <name val="Segoe UI"/>
      <family val="2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b/>
      <sz val="14"/>
      <color theme="1"/>
      <name val="Tahoma"/>
      <family val="2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57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164" fontId="4" fillId="0" borderId="1" xfId="0" applyNumberFormat="1" applyFont="1" applyBorder="1"/>
    <xf numFmtId="164" fontId="4" fillId="0" borderId="2" xfId="0" applyNumberFormat="1" applyFont="1" applyBorder="1"/>
    <xf numFmtId="164" fontId="4" fillId="0" borderId="0" xfId="0" applyNumberFormat="1" applyFont="1" applyBorder="1"/>
    <xf numFmtId="165" fontId="4" fillId="0" borderId="0" xfId="1" applyNumberFormat="1" applyFont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4" fillId="0" borderId="0" xfId="0" applyFont="1" applyFill="1" applyBorder="1"/>
    <xf numFmtId="164" fontId="4" fillId="0" borderId="0" xfId="0" applyNumberFormat="1" applyFont="1" applyFill="1" applyBorder="1"/>
    <xf numFmtId="164" fontId="4" fillId="0" borderId="2" xfId="0" applyNumberFormat="1" applyFont="1" applyFill="1" applyBorder="1"/>
    <xf numFmtId="0" fontId="6" fillId="0" borderId="0" xfId="0" applyFont="1"/>
    <xf numFmtId="0" fontId="5" fillId="2" borderId="0" xfId="0" applyFont="1" applyFill="1" applyBorder="1" applyAlignment="1">
      <alignment horizontal="centerContinuous"/>
    </xf>
    <xf numFmtId="0" fontId="7" fillId="2" borderId="0" xfId="0" applyFont="1" applyFill="1" applyBorder="1" applyAlignment="1">
      <alignment horizontal="centerContinuous"/>
    </xf>
    <xf numFmtId="0" fontId="8" fillId="2" borderId="0" xfId="0" applyFont="1" applyFill="1" applyBorder="1" applyAlignment="1">
      <alignment horizontal="centerContinuous"/>
    </xf>
    <xf numFmtId="0" fontId="9" fillId="2" borderId="0" xfId="0" applyFont="1" applyFill="1" applyBorder="1" applyAlignment="1">
      <alignment horizontal="centerContinuous"/>
    </xf>
    <xf numFmtId="0" fontId="8" fillId="2" borderId="0" xfId="0" applyFont="1" applyFill="1" applyAlignment="1">
      <alignment horizontal="centerContinuous"/>
    </xf>
    <xf numFmtId="0" fontId="7" fillId="2" borderId="0" xfId="0" applyFont="1" applyFill="1" applyAlignment="1">
      <alignment horizontal="centerContinuous"/>
    </xf>
    <xf numFmtId="164" fontId="7" fillId="2" borderId="0" xfId="0" applyNumberFormat="1" applyFont="1" applyFill="1" applyAlignment="1">
      <alignment horizontal="centerContinuous"/>
    </xf>
    <xf numFmtId="0" fontId="4" fillId="0" borderId="0" xfId="0" applyNumberFormat="1" applyFont="1"/>
    <xf numFmtId="5" fontId="4" fillId="0" borderId="0" xfId="0" applyNumberFormat="1" applyFont="1" applyFill="1" applyBorder="1" applyAlignment="1"/>
    <xf numFmtId="0" fontId="4" fillId="0" borderId="0" xfId="0" applyNumberFormat="1" applyFont="1" applyAlignment="1"/>
    <xf numFmtId="164" fontId="4" fillId="0" borderId="0" xfId="0" applyNumberFormat="1" applyFont="1" applyFill="1"/>
    <xf numFmtId="165" fontId="4" fillId="0" borderId="0" xfId="0" applyNumberFormat="1" applyFont="1" applyFill="1"/>
    <xf numFmtId="165" fontId="4" fillId="0" borderId="0" xfId="1" applyNumberFormat="1" applyFont="1" applyFill="1"/>
    <xf numFmtId="0" fontId="4" fillId="0" borderId="0" xfId="0" applyFont="1" applyFill="1"/>
    <xf numFmtId="0" fontId="3" fillId="0" borderId="0" xfId="0" applyNumberFormat="1" applyFont="1"/>
    <xf numFmtId="9" fontId="4" fillId="0" borderId="0" xfId="0" applyNumberFormat="1" applyFont="1"/>
    <xf numFmtId="10" fontId="4" fillId="0" borderId="0" xfId="0" applyNumberFormat="1" applyFont="1"/>
    <xf numFmtId="0" fontId="3" fillId="0" borderId="0" xfId="0" applyNumberFormat="1" applyFont="1" applyAlignment="1">
      <alignment horizontal="center"/>
    </xf>
    <xf numFmtId="9" fontId="3" fillId="0" borderId="0" xfId="0" applyNumberFormat="1" applyFont="1" applyAlignment="1">
      <alignment horizontal="center"/>
    </xf>
    <xf numFmtId="0" fontId="1" fillId="0" borderId="0" xfId="2"/>
    <xf numFmtId="0" fontId="12" fillId="0" borderId="3" xfId="3" applyNumberFormat="1" applyFont="1" applyFill="1" applyBorder="1" applyAlignment="1">
      <alignment horizontal="left" vertical="center" wrapText="1"/>
    </xf>
    <xf numFmtId="164" fontId="12" fillId="0" borderId="4" xfId="3" applyNumberFormat="1" applyFont="1" applyFill="1" applyBorder="1" applyAlignment="1">
      <alignment horizontal="left" vertical="center" wrapText="1"/>
    </xf>
    <xf numFmtId="0" fontId="2" fillId="0" borderId="4" xfId="3" applyNumberFormat="1" applyFont="1" applyFill="1" applyBorder="1" applyAlignment="1">
      <alignment horizontal="left" vertical="center"/>
    </xf>
    <xf numFmtId="0" fontId="12" fillId="0" borderId="4" xfId="3" applyNumberFormat="1" applyFont="1" applyFill="1" applyBorder="1" applyAlignment="1">
      <alignment horizontal="left" vertical="center" wrapText="1"/>
    </xf>
    <xf numFmtId="0" fontId="12" fillId="0" borderId="5" xfId="3" applyNumberFormat="1" applyFont="1" applyFill="1" applyBorder="1" applyAlignment="1">
      <alignment horizontal="left" vertical="center" wrapText="1"/>
    </xf>
    <xf numFmtId="43" fontId="13" fillId="3" borderId="3" xfId="3" applyFont="1" applyFill="1" applyBorder="1" applyAlignment="1">
      <alignment vertical="top"/>
    </xf>
    <xf numFmtId="9" fontId="13" fillId="3" borderId="4" xfId="3" applyNumberFormat="1" applyFont="1" applyFill="1" applyBorder="1" applyAlignment="1">
      <alignment vertical="top"/>
    </xf>
    <xf numFmtId="43" fontId="13" fillId="3" borderId="4" xfId="3" applyFont="1" applyFill="1" applyBorder="1" applyAlignment="1">
      <alignment vertical="top"/>
    </xf>
    <xf numFmtId="43" fontId="13" fillId="3" borderId="4" xfId="3" applyFont="1" applyFill="1" applyBorder="1" applyAlignment="1">
      <alignment horizontal="left" vertical="center"/>
    </xf>
    <xf numFmtId="43" fontId="13" fillId="3" borderId="5" xfId="3" applyFont="1" applyFill="1" applyBorder="1" applyAlignment="1">
      <alignment vertical="top"/>
    </xf>
    <xf numFmtId="0" fontId="14" fillId="4" borderId="0" xfId="2" applyFont="1" applyFill="1"/>
    <xf numFmtId="0" fontId="15" fillId="4" borderId="0" xfId="2" applyFont="1" applyFill="1"/>
    <xf numFmtId="0" fontId="16" fillId="4" borderId="0" xfId="2" applyFont="1" applyFill="1"/>
    <xf numFmtId="0" fontId="16" fillId="4" borderId="0" xfId="2" quotePrefix="1" applyFont="1" applyFill="1"/>
    <xf numFmtId="0" fontId="0" fillId="0" borderId="0" xfId="0" quotePrefix="1"/>
    <xf numFmtId="0" fontId="3" fillId="0" borderId="0" xfId="0" applyNumberFormat="1" applyFont="1" applyFill="1"/>
    <xf numFmtId="8" fontId="4" fillId="0" borderId="0" xfId="0" applyNumberFormat="1" applyFont="1" applyFill="1"/>
    <xf numFmtId="9" fontId="10" fillId="0" borderId="0" xfId="0" applyNumberFormat="1" applyFont="1" applyFill="1"/>
    <xf numFmtId="0" fontId="11" fillId="0" borderId="0" xfId="0" applyFont="1" applyFill="1"/>
    <xf numFmtId="0" fontId="10" fillId="0" borderId="0" xfId="0" applyFont="1" applyFill="1" applyAlignment="1">
      <alignment horizontal="right"/>
    </xf>
    <xf numFmtId="5" fontId="4" fillId="0" borderId="0" xfId="0" applyNumberFormat="1" applyFont="1" applyAlignment="1"/>
    <xf numFmtId="0" fontId="17" fillId="0" borderId="0" xfId="0" applyNumberFormat="1" applyFont="1"/>
    <xf numFmtId="0" fontId="17" fillId="0" borderId="0" xfId="0" applyFont="1"/>
  </cellXfs>
  <cellStyles count="4">
    <cellStyle name="Comma 2" xfId="3"/>
    <cellStyle name="Normal" xfId="0" builtinId="0"/>
    <cellStyle name="Normal 2" xfId="2"/>
    <cellStyle name="Percent" xfId="1" builtinId="5"/>
  </cellStyles>
  <dxfs count="6"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DC143C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  <dxf>
      <font>
        <color rgb="FFFFFFFF"/>
      </font>
      <fill>
        <patternFill>
          <bgColor rgb="FF0000FF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CE9D8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238127</xdr:colOff>
      <xdr:row>29</xdr:row>
      <xdr:rowOff>152403</xdr:rowOff>
    </xdr:from>
    <xdr:to>
      <xdr:col>15</xdr:col>
      <xdr:colOff>2467</xdr:colOff>
      <xdr:row>44</xdr:row>
      <xdr:rowOff>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100BB2-E8DB-4404-8C70-2C78B234F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7" y="5857878"/>
          <a:ext cx="4930700" cy="2705098"/>
        </a:xfrm>
        <a:prstGeom prst="rect">
          <a:avLst/>
        </a:prstGeom>
      </xdr:spPr>
    </xdr:pic>
    <xdr:clientData/>
  </xdr:twoCellAnchor>
  <xdr:twoCellAnchor editAs="oneCell">
    <xdr:from>
      <xdr:col>0</xdr:col>
      <xdr:colOff>542925</xdr:colOff>
      <xdr:row>29</xdr:row>
      <xdr:rowOff>66677</xdr:rowOff>
    </xdr:from>
    <xdr:to>
      <xdr:col>5</xdr:col>
      <xdr:colOff>571500</xdr:colOff>
      <xdr:row>43</xdr:row>
      <xdr:rowOff>182425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BD658A-32CE-4094-81B0-E5BA8BAE6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2925" y="5772152"/>
          <a:ext cx="5086350" cy="2782748"/>
        </a:xfrm>
        <a:prstGeom prst="rect">
          <a:avLst/>
        </a:prstGeom>
      </xdr:spPr>
    </xdr:pic>
    <xdr:clientData/>
  </xdr:twoCellAnchor>
  <xdr:twoCellAnchor editAs="oneCell">
    <xdr:from>
      <xdr:col>3</xdr:col>
      <xdr:colOff>342901</xdr:colOff>
      <xdr:row>45</xdr:row>
      <xdr:rowOff>9525</xdr:rowOff>
    </xdr:from>
    <xdr:to>
      <xdr:col>10</xdr:col>
      <xdr:colOff>506730</xdr:colOff>
      <xdr:row>60</xdr:row>
      <xdr:rowOff>131679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0B8189D-2AC0-45E8-AE34-09C223153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90901" y="8763000"/>
          <a:ext cx="5181599" cy="2979654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19</xdr:row>
      <xdr:rowOff>127000</xdr:rowOff>
    </xdr:from>
    <xdr:to>
      <xdr:col>5</xdr:col>
      <xdr:colOff>165100</xdr:colOff>
      <xdr:row>22</xdr:row>
      <xdr:rowOff>177800</xdr:rowOff>
    </xdr:to>
    <xdr:sp macro="AddYears" textlink="">
      <xdr:nvSpPr>
        <xdr:cNvPr id="2" name="Rounded Rectangle 1">
          <a:extLst>
            <a:ext uri="{FF2B5EF4-FFF2-40B4-BE49-F238E27FC236}">
              <a16:creationId xmlns:a16="http://schemas.microsoft.com/office/drawing/2014/main" id="{8EE40A0B-5BDB-A345-81B1-0F31FB9E9B65}"/>
            </a:ext>
          </a:extLst>
        </xdr:cNvPr>
        <xdr:cNvSpPr/>
      </xdr:nvSpPr>
      <xdr:spPr>
        <a:xfrm>
          <a:off x="3479800" y="3924300"/>
          <a:ext cx="2463800" cy="6477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CLICK HERE FOR ANALYSIS</a:t>
          </a:r>
          <a:r>
            <a:rPr lang="en-US" sz="1200" baseline="0"/>
            <a:t> OF A DIFFERENT NUMBER OF YEARS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238127</xdr:colOff>
      <xdr:row>29</xdr:row>
      <xdr:rowOff>152403</xdr:rowOff>
    </xdr:from>
    <xdr:to>
      <xdr:col>14</xdr:col>
      <xdr:colOff>190427</xdr:colOff>
      <xdr:row>44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2D6031-F428-FF45-9676-39F47870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27827" y="5880103"/>
          <a:ext cx="5578400" cy="2705098"/>
        </a:xfrm>
        <a:prstGeom prst="rect">
          <a:avLst/>
        </a:prstGeom>
      </xdr:spPr>
    </xdr:pic>
    <xdr:clientData/>
  </xdr:twoCellAnchor>
  <xdr:twoCellAnchor editAs="oneCell">
    <xdr:from>
      <xdr:col>0</xdr:col>
      <xdr:colOff>542925</xdr:colOff>
      <xdr:row>29</xdr:row>
      <xdr:rowOff>66677</xdr:rowOff>
    </xdr:from>
    <xdr:to>
      <xdr:col>5</xdr:col>
      <xdr:colOff>571500</xdr:colOff>
      <xdr:row>43</xdr:row>
      <xdr:rowOff>182425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415363-CBF0-6742-8420-C1CEBDA3B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2925" y="5794377"/>
          <a:ext cx="5807075" cy="2782748"/>
        </a:xfrm>
        <a:prstGeom prst="rect">
          <a:avLst/>
        </a:prstGeom>
      </xdr:spPr>
    </xdr:pic>
    <xdr:clientData/>
  </xdr:twoCellAnchor>
  <xdr:twoCellAnchor editAs="oneCell">
    <xdr:from>
      <xdr:col>3</xdr:col>
      <xdr:colOff>342901</xdr:colOff>
      <xdr:row>45</xdr:row>
      <xdr:rowOff>9525</xdr:rowOff>
    </xdr:from>
    <xdr:to>
      <xdr:col>10</xdr:col>
      <xdr:colOff>438150</xdr:colOff>
      <xdr:row>60</xdr:row>
      <xdr:rowOff>131679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FEF094-8833-0343-89DA-94A5CE205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2701" y="8785225"/>
          <a:ext cx="5937249" cy="2979654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19</xdr:row>
      <xdr:rowOff>127000</xdr:rowOff>
    </xdr:from>
    <xdr:to>
      <xdr:col>5</xdr:col>
      <xdr:colOff>165100</xdr:colOff>
      <xdr:row>22</xdr:row>
      <xdr:rowOff>177800</xdr:rowOff>
    </xdr:to>
    <xdr:sp macro="AddYears" textlink="">
      <xdr:nvSpPr>
        <xdr:cNvPr id="7" name="Rounded Rectangle 6">
          <a:extLst>
            <a:ext uri="{FF2B5EF4-FFF2-40B4-BE49-F238E27FC236}">
              <a16:creationId xmlns:a16="http://schemas.microsoft.com/office/drawing/2014/main" id="{EB5DECA5-127A-624A-BD28-6F8AA3FFCB9D}"/>
            </a:ext>
          </a:extLst>
        </xdr:cNvPr>
        <xdr:cNvSpPr/>
      </xdr:nvSpPr>
      <xdr:spPr>
        <a:xfrm>
          <a:off x="3479800" y="3924300"/>
          <a:ext cx="2463800" cy="6477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CLICK HERE FOR ANALYSIS</a:t>
          </a:r>
          <a:r>
            <a:rPr lang="en-US" sz="1200" baseline="0"/>
            <a:t> OF A DIFFERENT NUMBER OF YEARS</a:t>
          </a:r>
          <a:endParaRPr lang="en-US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5</xdr:row>
      <xdr:rowOff>9525</xdr:rowOff>
    </xdr:from>
    <xdr:to>
      <xdr:col>4</xdr:col>
      <xdr:colOff>990600</xdr:colOff>
      <xdr:row>5</xdr:row>
      <xdr:rowOff>495300</xdr:rowOff>
    </xdr:to>
    <xdr:pic>
      <xdr:nvPicPr>
        <xdr:cNvPr id="2" name="Picture 1" descr="D:\ActiveReports.emf">
          <a:extLst>
            <a:ext uri="{FF2B5EF4-FFF2-40B4-BE49-F238E27FC236}">
              <a16:creationId xmlns:a16="http://schemas.microsoft.com/office/drawing/2014/main" id="{8755A2D4-C1D8-4D58-BE2A-170BDAA1D9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7450" y="962025"/>
          <a:ext cx="59055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3"/>
  <sheetViews>
    <sheetView workbookViewId="0"/>
  </sheetViews>
  <sheetFormatPr defaultColWidth="9.109375" defaultRowHeight="14.4" x14ac:dyDescent="0.3"/>
  <cols>
    <col min="1" max="1" width="27.33203125" style="2" customWidth="1"/>
    <col min="2" max="2" width="10.109375" style="2" bestFit="1" customWidth="1"/>
    <col min="3" max="4" width="9.109375" style="21"/>
    <col min="5" max="5" width="21.88671875" style="21" bestFit="1" customWidth="1"/>
    <col min="6" max="6" width="9.44140625" style="21" bestFit="1" customWidth="1"/>
    <col min="7" max="8" width="12" style="21" customWidth="1"/>
    <col min="9" max="17" width="9.109375" style="21"/>
    <col min="18" max="16384" width="9.109375" style="2"/>
  </cols>
  <sheetData>
    <row r="1" spans="1:11" ht="21" x14ac:dyDescent="0.4">
      <c r="A1" s="13" t="s">
        <v>47</v>
      </c>
    </row>
    <row r="3" spans="1:11" ht="18" x14ac:dyDescent="0.35">
      <c r="A3" s="18" t="s">
        <v>0</v>
      </c>
      <c r="B3" s="19"/>
      <c r="E3" s="18" t="s">
        <v>49</v>
      </c>
      <c r="F3" s="19"/>
      <c r="G3" s="19"/>
      <c r="H3" s="19"/>
    </row>
    <row r="4" spans="1:11" x14ac:dyDescent="0.3">
      <c r="A4" s="1" t="s">
        <v>1</v>
      </c>
      <c r="B4" s="3">
        <v>200000</v>
      </c>
      <c r="F4" s="31" t="s">
        <v>56</v>
      </c>
      <c r="G4" s="31" t="s">
        <v>54</v>
      </c>
      <c r="H4" s="31" t="s">
        <v>57</v>
      </c>
      <c r="I4" s="30"/>
    </row>
    <row r="5" spans="1:11" x14ac:dyDescent="0.3">
      <c r="A5" s="1" t="s">
        <v>2</v>
      </c>
      <c r="B5" s="4">
        <v>800000</v>
      </c>
      <c r="E5" s="28" t="s">
        <v>51</v>
      </c>
      <c r="F5" s="30">
        <v>1.4999999999999999E-2</v>
      </c>
      <c r="H5" s="30">
        <v>5.5E-2</v>
      </c>
      <c r="I5" s="29"/>
      <c r="J5" s="29"/>
      <c r="K5" s="29"/>
    </row>
    <row r="6" spans="1:11" ht="15" thickBot="1" x14ac:dyDescent="0.35">
      <c r="A6" s="1" t="s">
        <v>3</v>
      </c>
      <c r="B6" s="5">
        <v>1000000</v>
      </c>
      <c r="E6" s="28" t="s">
        <v>13</v>
      </c>
      <c r="F6" s="29">
        <v>0.02</v>
      </c>
      <c r="G6" s="29">
        <v>0.04</v>
      </c>
      <c r="H6" s="29">
        <v>7.0000000000000007E-2</v>
      </c>
    </row>
    <row r="7" spans="1:11" ht="15" thickTop="1" x14ac:dyDescent="0.3">
      <c r="E7" s="28" t="s">
        <v>52</v>
      </c>
      <c r="F7" s="29">
        <v>0.01</v>
      </c>
      <c r="G7" s="30">
        <v>2.5000000000000001E-2</v>
      </c>
      <c r="H7" s="29">
        <v>0.05</v>
      </c>
    </row>
    <row r="8" spans="1:11" ht="18" x14ac:dyDescent="0.35">
      <c r="A8" s="18" t="s">
        <v>4</v>
      </c>
      <c r="B8" s="20"/>
      <c r="I8" s="30"/>
      <c r="J8" s="29"/>
    </row>
    <row r="9" spans="1:11" x14ac:dyDescent="0.3">
      <c r="A9" s="1" t="s">
        <v>5</v>
      </c>
      <c r="B9" s="6">
        <v>300000</v>
      </c>
      <c r="F9" s="32" t="s">
        <v>58</v>
      </c>
      <c r="G9" s="31" t="s">
        <v>59</v>
      </c>
    </row>
    <row r="10" spans="1:11" x14ac:dyDescent="0.3">
      <c r="A10" s="1" t="s">
        <v>6</v>
      </c>
      <c r="B10" s="6">
        <f>B6-B9</f>
        <v>700000</v>
      </c>
      <c r="E10" s="28" t="s">
        <v>50</v>
      </c>
      <c r="F10" s="29">
        <v>0.4</v>
      </c>
      <c r="G10" s="29">
        <v>0.04</v>
      </c>
    </row>
    <row r="11" spans="1:11" x14ac:dyDescent="0.3">
      <c r="A11" s="1" t="s">
        <v>7</v>
      </c>
      <c r="B11" s="7">
        <v>0.05</v>
      </c>
    </row>
    <row r="12" spans="1:11" x14ac:dyDescent="0.3">
      <c r="A12" s="1" t="s">
        <v>8</v>
      </c>
      <c r="B12" s="2">
        <v>15</v>
      </c>
    </row>
    <row r="13" spans="1:11" x14ac:dyDescent="0.3">
      <c r="A13" s="1" t="s">
        <v>9</v>
      </c>
      <c r="B13" s="3">
        <f>PMT(B11,B12,-B10)</f>
        <v>67439.601326471064</v>
      </c>
    </row>
    <row r="14" spans="1:11" x14ac:dyDescent="0.3">
      <c r="A14" s="1"/>
      <c r="B14" s="3"/>
    </row>
    <row r="15" spans="1:11" ht="18" x14ac:dyDescent="0.35">
      <c r="A15" s="18" t="s">
        <v>10</v>
      </c>
      <c r="B15" s="19"/>
    </row>
    <row r="16" spans="1:11" x14ac:dyDescent="0.3">
      <c r="A16" s="1" t="s">
        <v>11</v>
      </c>
      <c r="B16" s="24">
        <v>192000</v>
      </c>
    </row>
    <row r="17" spans="1:2" x14ac:dyDescent="0.3">
      <c r="A17" s="1" t="s">
        <v>12</v>
      </c>
      <c r="B17" s="25" t="e">
        <f ca="1">_xll.RiskUniform(F5,H5)</f>
        <v>#NAME?</v>
      </c>
    </row>
    <row r="18" spans="1:2" x14ac:dyDescent="0.3">
      <c r="A18" s="1" t="s">
        <v>13</v>
      </c>
      <c r="B18" s="25" t="e">
        <f ca="1">_xll.RiskTriang(F6,G6,H6)</f>
        <v>#NAME?</v>
      </c>
    </row>
    <row r="19" spans="1:2" x14ac:dyDescent="0.3">
      <c r="A19" s="1" t="s">
        <v>14</v>
      </c>
      <c r="B19" s="25" t="e">
        <f ca="1">_xll.RiskNormal(F10,G10)</f>
        <v>#NAME?</v>
      </c>
    </row>
    <row r="20" spans="1:2" x14ac:dyDescent="0.3">
      <c r="A20" s="1" t="s">
        <v>15</v>
      </c>
      <c r="B20" s="25">
        <v>0.28000000000000003</v>
      </c>
    </row>
    <row r="21" spans="1:2" x14ac:dyDescent="0.3">
      <c r="A21" s="1" t="s">
        <v>16</v>
      </c>
      <c r="B21" s="25" t="e">
        <f ca="1">_xll.RiskTriang(F7,G7,H7)</f>
        <v>#NAME?</v>
      </c>
    </row>
    <row r="22" spans="1:2" x14ac:dyDescent="0.3">
      <c r="A22" s="1" t="s">
        <v>17</v>
      </c>
      <c r="B22" s="25">
        <v>0.05</v>
      </c>
    </row>
    <row r="23" spans="1:2" x14ac:dyDescent="0.3">
      <c r="A23" s="1" t="s">
        <v>18</v>
      </c>
      <c r="B23" s="26">
        <v>0.06</v>
      </c>
    </row>
  </sheetData>
  <conditionalFormatting sqref="B17">
    <cfRule type="expression" dxfId="5" priority="1" stopIfTrue="1">
      <formula>RiskIsInput</formula>
    </cfRule>
  </conditionalFormatting>
  <conditionalFormatting sqref="B18">
    <cfRule type="expression" dxfId="4" priority="2" stopIfTrue="1">
      <formula>RiskIsInput</formula>
    </cfRule>
  </conditionalFormatting>
  <conditionalFormatting sqref="B19">
    <cfRule type="expression" dxfId="3" priority="3" stopIfTrue="1">
      <formula>RiskIsInput</formula>
    </cfRule>
  </conditionalFormatting>
  <conditionalFormatting sqref="B21">
    <cfRule type="expression" dxfId="2" priority="4" stopIfTrue="1">
      <formula>RiskIsInput</formula>
    </cfRule>
  </conditionalFormatting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N11"/>
  <sheetViews>
    <sheetView workbookViewId="0"/>
  </sheetViews>
  <sheetFormatPr defaultColWidth="8.88671875" defaultRowHeight="13.2" x14ac:dyDescent="0.25"/>
  <sheetData>
    <row r="1" spans="1:40" x14ac:dyDescent="0.25">
      <c r="A1">
        <v>1</v>
      </c>
      <c r="B1">
        <v>0</v>
      </c>
    </row>
    <row r="2" spans="1:40" x14ac:dyDescent="0.25">
      <c r="A2">
        <v>0</v>
      </c>
    </row>
    <row r="3" spans="1:40" x14ac:dyDescent="0.25">
      <c r="A3" t="e">
        <f ca="1">Model!$B$20</f>
        <v>#NAME?</v>
      </c>
      <c r="B3" t="b">
        <v>1</v>
      </c>
      <c r="C3">
        <v>0</v>
      </c>
      <c r="D3">
        <v>1</v>
      </c>
      <c r="E3" t="s">
        <v>75</v>
      </c>
      <c r="F3">
        <v>1</v>
      </c>
      <c r="G3">
        <v>0</v>
      </c>
      <c r="H3">
        <v>0</v>
      </c>
      <c r="J3" t="s">
        <v>70</v>
      </c>
      <c r="K3" t="s">
        <v>71</v>
      </c>
      <c r="L3" t="s">
        <v>72</v>
      </c>
      <c r="AG3" t="e">
        <f ca="1">Model!$B$20</f>
        <v>#NAME?</v>
      </c>
      <c r="AH3">
        <v>1</v>
      </c>
      <c r="AI3">
        <v>1</v>
      </c>
      <c r="AJ3" t="b">
        <v>0</v>
      </c>
      <c r="AK3" t="b">
        <v>1</v>
      </c>
      <c r="AL3">
        <v>0</v>
      </c>
      <c r="AM3" t="b">
        <v>0</v>
      </c>
      <c r="AN3" t="e">
        <f>_</f>
        <v>#NAME?</v>
      </c>
    </row>
    <row r="4" spans="1:40" x14ac:dyDescent="0.25">
      <c r="A4">
        <v>0</v>
      </c>
    </row>
    <row r="5" spans="1:40" x14ac:dyDescent="0.25">
      <c r="A5" t="b">
        <v>0</v>
      </c>
      <c r="B5">
        <v>15680</v>
      </c>
      <c r="C5">
        <v>7345</v>
      </c>
      <c r="D5">
        <v>7710</v>
      </c>
      <c r="E5">
        <v>3225</v>
      </c>
    </row>
    <row r="6" spans="1:40" x14ac:dyDescent="0.25">
      <c r="A6" t="b">
        <v>0</v>
      </c>
      <c r="B6">
        <v>15680</v>
      </c>
      <c r="C6">
        <v>7345</v>
      </c>
      <c r="D6">
        <v>6705</v>
      </c>
      <c r="E6">
        <v>2655</v>
      </c>
    </row>
    <row r="7" spans="1:40" x14ac:dyDescent="0.25">
      <c r="A7" t="b">
        <v>0</v>
      </c>
      <c r="B7">
        <v>15680</v>
      </c>
      <c r="C7">
        <v>7345</v>
      </c>
      <c r="D7">
        <v>13120</v>
      </c>
      <c r="E7">
        <v>0</v>
      </c>
    </row>
    <row r="8" spans="1:40" x14ac:dyDescent="0.25">
      <c r="A8" t="b">
        <v>0</v>
      </c>
      <c r="B8">
        <v>15680</v>
      </c>
      <c r="C8">
        <v>7345</v>
      </c>
      <c r="D8">
        <v>13120</v>
      </c>
      <c r="E8">
        <v>0</v>
      </c>
    </row>
    <row r="9" spans="1:40" x14ac:dyDescent="0.25">
      <c r="A9" t="b">
        <v>0</v>
      </c>
      <c r="B9">
        <v>15680</v>
      </c>
      <c r="C9">
        <v>7345</v>
      </c>
      <c r="D9">
        <v>13120</v>
      </c>
      <c r="E9">
        <v>0</v>
      </c>
    </row>
    <row r="10" spans="1:40" x14ac:dyDescent="0.25">
      <c r="A10">
        <v>0</v>
      </c>
    </row>
    <row r="11" spans="1:40" x14ac:dyDescent="0.25">
      <c r="A11">
        <v>0</v>
      </c>
      <c r="B11" t="b">
        <v>0</v>
      </c>
      <c r="C11" t="b">
        <v>0</v>
      </c>
      <c r="D11">
        <v>10</v>
      </c>
      <c r="E11">
        <v>0.95</v>
      </c>
      <c r="F1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/>
  </sheetViews>
  <sheetFormatPr defaultColWidth="8.88671875" defaultRowHeight="13.2" x14ac:dyDescent="0.25"/>
  <sheetData>
    <row r="1" spans="1:3" x14ac:dyDescent="0.25">
      <c r="A1" s="48" t="s">
        <v>74</v>
      </c>
      <c r="B1" s="48" t="s">
        <v>73</v>
      </c>
      <c r="C1" s="48" t="s">
        <v>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J115"/>
  <sheetViews>
    <sheetView tabSelected="1" zoomScaleNormal="100" workbookViewId="0"/>
  </sheetViews>
  <sheetFormatPr defaultColWidth="9.109375" defaultRowHeight="14.4" x14ac:dyDescent="0.3"/>
  <cols>
    <col min="1" max="1" width="20.88671875" style="2" customWidth="1"/>
    <col min="2" max="2" width="15.6640625" style="2" customWidth="1"/>
    <col min="3" max="3" width="9.109375" style="2"/>
    <col min="4" max="4" width="20.88671875" style="2" bestFit="1" customWidth="1"/>
    <col min="5" max="9" width="9.33203125" style="2" customWidth="1"/>
    <col min="10" max="11" width="8" style="2" bestFit="1" customWidth="1"/>
    <col min="12" max="14" width="8" style="23" bestFit="1" customWidth="1"/>
    <col min="15" max="15" width="9.109375" style="23"/>
    <col min="16" max="16" width="10.33203125" style="23" bestFit="1" customWidth="1"/>
    <col min="17" max="36" width="9.109375" style="23"/>
    <col min="37" max="16384" width="9.109375" style="2"/>
  </cols>
  <sheetData>
    <row r="1" spans="1:14" ht="21" x14ac:dyDescent="0.4">
      <c r="A1" s="13" t="s">
        <v>48</v>
      </c>
    </row>
    <row r="3" spans="1:14" ht="18" x14ac:dyDescent="0.35">
      <c r="A3" s="14" t="s">
        <v>19</v>
      </c>
      <c r="B3" s="15"/>
      <c r="E3" s="16" t="s">
        <v>46</v>
      </c>
      <c r="F3" s="17"/>
      <c r="G3" s="17"/>
      <c r="H3" s="17"/>
      <c r="I3" s="17"/>
      <c r="J3" s="17"/>
      <c r="K3" s="17"/>
      <c r="L3" s="17"/>
      <c r="M3" s="17"/>
      <c r="N3" s="17"/>
    </row>
    <row r="4" spans="1:14" x14ac:dyDescent="0.3">
      <c r="A4" s="1" t="s">
        <v>44</v>
      </c>
      <c r="B4" s="27">
        <v>6</v>
      </c>
      <c r="D4" s="8" t="s">
        <v>43</v>
      </c>
      <c r="E4" s="9">
        <v>1</v>
      </c>
      <c r="F4" s="9">
        <v>2</v>
      </c>
      <c r="G4" s="9">
        <v>3</v>
      </c>
      <c r="H4" s="9">
        <v>4</v>
      </c>
      <c r="I4" s="9">
        <v>5</v>
      </c>
      <c r="J4" s="9">
        <v>6</v>
      </c>
      <c r="K4" s="9"/>
      <c r="L4" s="9"/>
      <c r="M4" s="9"/>
      <c r="N4" s="9"/>
    </row>
    <row r="5" spans="1:14" x14ac:dyDescent="0.3">
      <c r="A5" s="8" t="s">
        <v>45</v>
      </c>
      <c r="B5" s="11" t="e">
        <f ca="1">Data!$B$6*(1+Data!B21)^B4</f>
        <v>#NAME?</v>
      </c>
      <c r="D5" s="8" t="s">
        <v>21</v>
      </c>
      <c r="E5" s="22">
        <f>Data!B16</f>
        <v>192000</v>
      </c>
      <c r="F5" s="22" t="e">
        <f ca="1">E5*(1+Data!$B$17)</f>
        <v>#NAME?</v>
      </c>
      <c r="G5" s="22" t="e">
        <f ca="1">F5*(1+Data!$B$17)</f>
        <v>#NAME?</v>
      </c>
      <c r="H5" s="22" t="e">
        <f ca="1">G5*(1+Data!$B$17)</f>
        <v>#NAME?</v>
      </c>
      <c r="I5" s="22" t="e">
        <f ca="1">H5*(1+Data!$B$17)</f>
        <v>#NAME?</v>
      </c>
      <c r="J5" s="22" t="e">
        <f ca="1">I5*(1+Data!$B$17)</f>
        <v>#NAME?</v>
      </c>
      <c r="K5" s="22"/>
      <c r="L5" s="22"/>
      <c r="M5" s="54"/>
      <c r="N5" s="54"/>
    </row>
    <row r="6" spans="1:14" x14ac:dyDescent="0.3">
      <c r="A6" s="8" t="s">
        <v>20</v>
      </c>
      <c r="B6" s="10"/>
      <c r="D6" s="8" t="s">
        <v>23</v>
      </c>
      <c r="E6" s="22"/>
      <c r="F6" s="22"/>
      <c r="G6" s="22"/>
      <c r="H6" s="22"/>
      <c r="I6" s="22"/>
      <c r="J6" s="22"/>
      <c r="K6" s="22"/>
      <c r="L6" s="22"/>
      <c r="M6" s="54"/>
      <c r="N6" s="54"/>
    </row>
    <row r="7" spans="1:14" x14ac:dyDescent="0.3">
      <c r="A7" s="8" t="s">
        <v>22</v>
      </c>
      <c r="B7" s="11" t="e">
        <f ca="1">Data!$B$22*B5</f>
        <v>#NAME?</v>
      </c>
      <c r="D7" s="8" t="s">
        <v>25</v>
      </c>
      <c r="E7" s="22" t="e">
        <f ca="1">Data!$B$18*E5</f>
        <v>#NAME?</v>
      </c>
      <c r="F7" s="22" t="e">
        <f ca="1">Data!$B$18*F5</f>
        <v>#NAME?</v>
      </c>
      <c r="G7" s="22" t="e">
        <f ca="1">Data!$B$18*G5</f>
        <v>#NAME?</v>
      </c>
      <c r="H7" s="22" t="e">
        <f ca="1">Data!$B$18*H5</f>
        <v>#NAME?</v>
      </c>
      <c r="I7" s="22" t="e">
        <f ca="1">Data!$B$18*I5</f>
        <v>#NAME?</v>
      </c>
      <c r="J7" s="22" t="e">
        <f ca="1">Data!$B$18*J5</f>
        <v>#NAME?</v>
      </c>
      <c r="K7" s="22"/>
      <c r="L7" s="22"/>
      <c r="M7" s="54"/>
      <c r="N7" s="54"/>
    </row>
    <row r="8" spans="1:14" x14ac:dyDescent="0.3">
      <c r="A8" s="8" t="s">
        <v>24</v>
      </c>
      <c r="B8" s="11" t="e">
        <f ca="1">Data!$B$6-SUM(E8:J8)</f>
        <v>#NAME?</v>
      </c>
      <c r="D8" s="8" t="s">
        <v>27</v>
      </c>
      <c r="E8" s="22" t="e">
        <f ca="1">Data!$B$19*E5</f>
        <v>#NAME?</v>
      </c>
      <c r="F8" s="22" t="e">
        <f ca="1">Data!$B$19*F5</f>
        <v>#NAME?</v>
      </c>
      <c r="G8" s="22" t="e">
        <f ca="1">Data!$B$19*G5</f>
        <v>#NAME?</v>
      </c>
      <c r="H8" s="22" t="e">
        <f ca="1">Data!$B$19*H5</f>
        <v>#NAME?</v>
      </c>
      <c r="I8" s="22" t="e">
        <f ca="1">Data!$B$19*I5</f>
        <v>#NAME?</v>
      </c>
      <c r="J8" s="22" t="e">
        <f ca="1">Data!$B$19*J5</f>
        <v>#NAME?</v>
      </c>
      <c r="K8" s="22"/>
      <c r="L8" s="22"/>
      <c r="M8" s="54"/>
      <c r="N8" s="54"/>
    </row>
    <row r="9" spans="1:14" ht="15" thickBot="1" x14ac:dyDescent="0.35">
      <c r="A9" s="8" t="s">
        <v>26</v>
      </c>
      <c r="B9" s="12" t="e">
        <f ca="1">B5-B7-B8</f>
        <v>#NAME?</v>
      </c>
      <c r="D9" s="8" t="s">
        <v>28</v>
      </c>
      <c r="E9" s="22" t="e">
        <f t="shared" ref="E9:I9" ca="1" si="0">E5-E7-E8</f>
        <v>#NAME?</v>
      </c>
      <c r="F9" s="22" t="e">
        <f t="shared" ca="1" si="0"/>
        <v>#NAME?</v>
      </c>
      <c r="G9" s="22" t="e">
        <f t="shared" ca="1" si="0"/>
        <v>#NAME?</v>
      </c>
      <c r="H9" s="22" t="e">
        <f t="shared" ca="1" si="0"/>
        <v>#NAME?</v>
      </c>
      <c r="I9" s="22" t="e">
        <f t="shared" ca="1" si="0"/>
        <v>#NAME?</v>
      </c>
      <c r="J9" s="22" t="e">
        <f t="shared" ref="J9" ca="1" si="1">J5-J7-J8</f>
        <v>#NAME?</v>
      </c>
      <c r="K9" s="22"/>
      <c r="L9" s="22"/>
      <c r="M9" s="54"/>
      <c r="N9" s="54"/>
    </row>
    <row r="10" spans="1:14" ht="15" thickTop="1" x14ac:dyDescent="0.3">
      <c r="A10" s="8"/>
      <c r="B10" s="11"/>
      <c r="D10" s="8" t="s">
        <v>23</v>
      </c>
      <c r="E10" s="22"/>
      <c r="F10" s="22"/>
      <c r="G10" s="22"/>
      <c r="H10" s="22"/>
      <c r="I10" s="22"/>
      <c r="J10" s="22"/>
      <c r="K10" s="22"/>
      <c r="L10" s="22"/>
      <c r="M10" s="54"/>
      <c r="N10" s="54"/>
    </row>
    <row r="11" spans="1:14" x14ac:dyDescent="0.3">
      <c r="A11" s="8" t="s">
        <v>29</v>
      </c>
      <c r="B11" s="11" t="e">
        <f ca="1">B5-B7</f>
        <v>#NAME?</v>
      </c>
      <c r="D11" s="8" t="s">
        <v>30</v>
      </c>
      <c r="E11" s="22">
        <f>Data!$B$5/27.5</f>
        <v>29090.909090909092</v>
      </c>
      <c r="F11" s="22">
        <f>Data!$B$5/27.5</f>
        <v>29090.909090909092</v>
      </c>
      <c r="G11" s="22">
        <f>Data!$B$5/27.5</f>
        <v>29090.909090909092</v>
      </c>
      <c r="H11" s="22">
        <f>Data!$B$5/27.5</f>
        <v>29090.909090909092</v>
      </c>
      <c r="I11" s="22">
        <f>Data!$B$5/27.5</f>
        <v>29090.909090909092</v>
      </c>
      <c r="J11" s="22">
        <f>Data!$B$5/27.5</f>
        <v>29090.909090909092</v>
      </c>
      <c r="K11" s="22"/>
      <c r="L11" s="22"/>
      <c r="M11" s="54"/>
      <c r="N11" s="54"/>
    </row>
    <row r="12" spans="1:14" x14ac:dyDescent="0.3">
      <c r="A12" s="8" t="s">
        <v>20</v>
      </c>
      <c r="B12" s="10"/>
      <c r="D12" s="8" t="s">
        <v>32</v>
      </c>
      <c r="E12" s="22">
        <f>-CUMIPMT(Data!$B$11,Data!$B$12,Data!$B$10,E$4,E$4,0)</f>
        <v>35000</v>
      </c>
      <c r="F12" s="22">
        <f>-CUMIPMT(Data!$B$11,Data!$B$12,Data!$B$10,F$4,F$4,0)</f>
        <v>33378.019933676449</v>
      </c>
      <c r="G12" s="22">
        <f>-CUMIPMT(Data!$B$11,Data!$B$12,Data!$B$10,G$4,G$4,0)</f>
        <v>31674.940864036718</v>
      </c>
      <c r="H12" s="22">
        <f>-CUMIPMT(Data!$B$11,Data!$B$12,Data!$B$10,H$4,H$4,0)</f>
        <v>29886.707840914991</v>
      </c>
      <c r="I12" s="22">
        <f>-CUMIPMT(Data!$B$11,Data!$B$12,Data!$B$10,I$4,I$4,0)</f>
        <v>28009.063166637192</v>
      </c>
      <c r="J12" s="22">
        <f>-CUMIPMT(Data!$B$11,Data!$B$12,Data!$B$10,J$4,J$4,0)</f>
        <v>26037.536258645494</v>
      </c>
      <c r="K12" s="22"/>
      <c r="L12" s="22"/>
      <c r="M12" s="54"/>
      <c r="N12" s="54"/>
    </row>
    <row r="13" spans="1:14" x14ac:dyDescent="0.3">
      <c r="A13" s="8" t="s">
        <v>31</v>
      </c>
      <c r="B13" s="11" t="e">
        <f ca="1">Data!$B$20*B9</f>
        <v>#NAME?</v>
      </c>
      <c r="D13" s="8" t="s">
        <v>34</v>
      </c>
      <c r="E13" s="22" t="e">
        <f t="shared" ref="E13:I13" ca="1" si="2">E9-E11-E12</f>
        <v>#NAME?</v>
      </c>
      <c r="F13" s="22" t="e">
        <f t="shared" ca="1" si="2"/>
        <v>#NAME?</v>
      </c>
      <c r="G13" s="22" t="e">
        <f t="shared" ca="1" si="2"/>
        <v>#NAME?</v>
      </c>
      <c r="H13" s="22" t="e">
        <f t="shared" ca="1" si="2"/>
        <v>#NAME?</v>
      </c>
      <c r="I13" s="22" t="e">
        <f t="shared" ca="1" si="2"/>
        <v>#NAME?</v>
      </c>
      <c r="J13" s="22" t="e">
        <f t="shared" ref="J13" ca="1" si="3">J9-J11-J12</f>
        <v>#NAME?</v>
      </c>
      <c r="K13" s="22"/>
      <c r="L13" s="22"/>
      <c r="M13" s="54"/>
      <c r="N13" s="54"/>
    </row>
    <row r="14" spans="1:14" x14ac:dyDescent="0.3">
      <c r="A14" s="8" t="s">
        <v>33</v>
      </c>
      <c r="B14" s="11">
        <f>Data!$B$10-SUM(E17:J17)</f>
        <v>479348.66010508442</v>
      </c>
      <c r="D14" s="10"/>
      <c r="E14" s="22"/>
      <c r="F14" s="22"/>
      <c r="G14" s="22"/>
      <c r="H14" s="22"/>
      <c r="I14" s="22"/>
      <c r="J14" s="22"/>
      <c r="K14" s="22"/>
      <c r="L14" s="22"/>
      <c r="M14" s="54"/>
      <c r="N14" s="54"/>
    </row>
    <row r="15" spans="1:14" ht="15" thickBot="1" x14ac:dyDescent="0.35">
      <c r="A15" s="8" t="s">
        <v>35</v>
      </c>
      <c r="B15" s="12" t="e">
        <f ca="1">B11-B13-B14</f>
        <v>#NAME?</v>
      </c>
      <c r="D15" s="8" t="s">
        <v>36</v>
      </c>
      <c r="E15" s="22" t="e">
        <f ca="1">Data!$B$20*E13</f>
        <v>#NAME?</v>
      </c>
      <c r="F15" s="22" t="e">
        <f ca="1">Data!$B$20*F13</f>
        <v>#NAME?</v>
      </c>
      <c r="G15" s="22" t="e">
        <f ca="1">Data!$B$20*G13</f>
        <v>#NAME?</v>
      </c>
      <c r="H15" s="22" t="e">
        <f ca="1">Data!$B$20*H13</f>
        <v>#NAME?</v>
      </c>
      <c r="I15" s="22" t="e">
        <f ca="1">Data!$B$20*I13</f>
        <v>#NAME?</v>
      </c>
      <c r="J15" s="22" t="e">
        <f ca="1">Data!$B$20*J13</f>
        <v>#NAME?</v>
      </c>
      <c r="K15" s="22"/>
      <c r="L15" s="22"/>
      <c r="M15" s="54"/>
      <c r="N15" s="54"/>
    </row>
    <row r="16" spans="1:14" ht="15" thickTop="1" x14ac:dyDescent="0.3">
      <c r="A16" s="10"/>
      <c r="B16" s="10"/>
      <c r="D16" s="8"/>
      <c r="E16" s="22"/>
      <c r="F16" s="22"/>
      <c r="G16" s="22"/>
      <c r="H16" s="22"/>
      <c r="I16" s="22"/>
      <c r="J16" s="22"/>
      <c r="K16" s="22"/>
      <c r="L16" s="22"/>
      <c r="M16" s="54"/>
      <c r="N16" s="54"/>
    </row>
    <row r="17" spans="1:36" x14ac:dyDescent="0.3">
      <c r="A17" s="8" t="s">
        <v>37</v>
      </c>
      <c r="B17" s="11" t="e">
        <f ca="1">-PV(Data!$B$23,B4,,$B$15,1)</f>
        <v>#NAME?</v>
      </c>
      <c r="D17" s="8" t="s">
        <v>39</v>
      </c>
      <c r="E17" s="22">
        <f>Data!$B$13-E12</f>
        <v>32439.601326471064</v>
      </c>
      <c r="F17" s="22">
        <f>Data!$B$13-F12</f>
        <v>34061.581392794615</v>
      </c>
      <c r="G17" s="22">
        <f>Data!$B$13-G12</f>
        <v>35764.660462434345</v>
      </c>
      <c r="H17" s="22">
        <f>Data!$B$13-H12</f>
        <v>37552.893485556073</v>
      </c>
      <c r="I17" s="22">
        <f>Data!$B$13-I12</f>
        <v>39430.538159833872</v>
      </c>
      <c r="J17" s="22">
        <f>Data!$B$13-J12</f>
        <v>41402.06506782557</v>
      </c>
      <c r="K17" s="22"/>
      <c r="L17" s="22"/>
      <c r="M17" s="54"/>
      <c r="N17" s="54"/>
    </row>
    <row r="18" spans="1:36" x14ac:dyDescent="0.3">
      <c r="A18" s="8" t="s">
        <v>38</v>
      </c>
      <c r="B18" s="11" t="e">
        <f ca="1">NPV(Data!$B$23, E19:J19)</f>
        <v>#NAME?</v>
      </c>
      <c r="D18" s="8"/>
      <c r="E18" s="22"/>
      <c r="F18" s="22"/>
      <c r="G18" s="22"/>
      <c r="H18" s="22"/>
      <c r="I18" s="22"/>
      <c r="J18" s="22"/>
      <c r="K18" s="22"/>
      <c r="L18" s="22"/>
      <c r="M18" s="54"/>
      <c r="N18" s="54"/>
    </row>
    <row r="19" spans="1:36" x14ac:dyDescent="0.3">
      <c r="A19" s="8" t="s">
        <v>40</v>
      </c>
      <c r="B19" s="11">
        <f>Data!$B$9</f>
        <v>300000</v>
      </c>
      <c r="D19" s="8" t="s">
        <v>42</v>
      </c>
      <c r="E19" s="22" t="e">
        <f t="shared" ref="E19:I19" ca="1" si="4">E9-E12-E15-E17</f>
        <v>#NAME?</v>
      </c>
      <c r="F19" s="22" t="e">
        <f t="shared" ca="1" si="4"/>
        <v>#NAME?</v>
      </c>
      <c r="G19" s="22" t="e">
        <f t="shared" ca="1" si="4"/>
        <v>#NAME?</v>
      </c>
      <c r="H19" s="22" t="e">
        <f t="shared" ca="1" si="4"/>
        <v>#NAME?</v>
      </c>
      <c r="I19" s="22" t="e">
        <f t="shared" ca="1" si="4"/>
        <v>#NAME?</v>
      </c>
      <c r="J19" s="22" t="e">
        <f t="shared" ref="J19" ca="1" si="5">J9-J12-J15-J17</f>
        <v>#NAME?</v>
      </c>
      <c r="K19" s="22"/>
      <c r="L19" s="22"/>
      <c r="M19" s="54"/>
      <c r="N19" s="54"/>
    </row>
    <row r="20" spans="1:36" ht="15" thickBot="1" x14ac:dyDescent="0.35">
      <c r="A20" s="8" t="s">
        <v>41</v>
      </c>
      <c r="B20" s="12" t="e">
        <f ca="1">_xll.RiskOutput()+B17+B18-B19</f>
        <v>#NAME?</v>
      </c>
      <c r="C20" s="21"/>
      <c r="D20" s="21"/>
      <c r="E20" s="21"/>
      <c r="F20" s="21"/>
      <c r="G20" s="21"/>
      <c r="H20" s="21"/>
      <c r="I20" s="21"/>
      <c r="J20" s="21"/>
      <c r="K20" s="21"/>
    </row>
    <row r="21" spans="1:36" s="21" customFormat="1" ht="15" thickTop="1" x14ac:dyDescent="0.3">
      <c r="G21" s="55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</row>
    <row r="22" spans="1:36" s="21" customFormat="1" x14ac:dyDescent="0.3">
      <c r="G22" s="56"/>
      <c r="H22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</row>
    <row r="23" spans="1:36" s="21" customFormat="1" x14ac:dyDescent="0.3">
      <c r="G23"/>
      <c r="H23" s="56" t="s">
        <v>77</v>
      </c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</row>
    <row r="24" spans="1:36" s="21" customFormat="1" x14ac:dyDescent="0.3">
      <c r="G24" s="56"/>
      <c r="H24" t="s">
        <v>76</v>
      </c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</row>
    <row r="25" spans="1:36" s="21" customFormat="1" x14ac:dyDescent="0.3">
      <c r="A25" s="49"/>
      <c r="B25" s="50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</row>
    <row r="26" spans="1:36" s="21" customFormat="1" x14ac:dyDescent="0.3">
      <c r="A26" s="49"/>
      <c r="B26" s="51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</row>
    <row r="27" spans="1:36" s="21" customFormat="1" x14ac:dyDescent="0.3">
      <c r="A27" s="52"/>
      <c r="B27" s="5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</row>
    <row r="28" spans="1:36" s="21" customFormat="1" x14ac:dyDescent="0.3"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</row>
    <row r="29" spans="1:36" s="21" customFormat="1" x14ac:dyDescent="0.3">
      <c r="B29" s="56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</row>
    <row r="30" spans="1:36" s="21" customFormat="1" x14ac:dyDescent="0.3"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</row>
    <row r="31" spans="1:36" s="21" customFormat="1" x14ac:dyDescent="0.3"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</row>
    <row r="32" spans="1:36" s="21" customFormat="1" x14ac:dyDescent="0.3"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</row>
    <row r="33" spans="12:36" s="21" customFormat="1" x14ac:dyDescent="0.3"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</row>
    <row r="34" spans="12:36" s="21" customFormat="1" x14ac:dyDescent="0.3"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</row>
    <row r="35" spans="12:36" s="21" customFormat="1" x14ac:dyDescent="0.3"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</row>
    <row r="36" spans="12:36" s="21" customFormat="1" x14ac:dyDescent="0.3"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</row>
    <row r="37" spans="12:36" s="21" customFormat="1" x14ac:dyDescent="0.3"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</row>
    <row r="38" spans="12:36" s="21" customFormat="1" x14ac:dyDescent="0.3"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</row>
    <row r="39" spans="12:36" s="21" customFormat="1" x14ac:dyDescent="0.3"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</row>
    <row r="40" spans="12:36" s="21" customFormat="1" x14ac:dyDescent="0.3"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</row>
    <row r="41" spans="12:36" s="21" customFormat="1" x14ac:dyDescent="0.3"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</row>
    <row r="42" spans="12:36" s="21" customFormat="1" x14ac:dyDescent="0.3"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</row>
    <row r="43" spans="12:36" s="21" customFormat="1" x14ac:dyDescent="0.3"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</row>
    <row r="44" spans="12:36" s="21" customFormat="1" x14ac:dyDescent="0.3"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</row>
    <row r="45" spans="12:36" s="21" customFormat="1" x14ac:dyDescent="0.3"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</row>
    <row r="46" spans="12:36" s="21" customFormat="1" x14ac:dyDescent="0.3"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</row>
    <row r="47" spans="12:36" s="21" customFormat="1" x14ac:dyDescent="0.3"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</row>
    <row r="48" spans="12:36" s="21" customFormat="1" x14ac:dyDescent="0.3"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</row>
    <row r="49" spans="12:36" s="21" customFormat="1" x14ac:dyDescent="0.3"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</row>
    <row r="50" spans="12:36" s="21" customFormat="1" x14ac:dyDescent="0.3"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</row>
    <row r="51" spans="12:36" s="21" customFormat="1" x14ac:dyDescent="0.3"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</row>
    <row r="52" spans="12:36" s="21" customFormat="1" x14ac:dyDescent="0.3"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</row>
    <row r="53" spans="12:36" s="21" customFormat="1" x14ac:dyDescent="0.3"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</row>
    <row r="54" spans="12:36" s="21" customFormat="1" x14ac:dyDescent="0.3"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</row>
    <row r="55" spans="12:36" s="21" customFormat="1" x14ac:dyDescent="0.3"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</row>
    <row r="56" spans="12:36" s="21" customFormat="1" x14ac:dyDescent="0.3"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</row>
    <row r="57" spans="12:36" s="21" customFormat="1" x14ac:dyDescent="0.3"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</row>
    <row r="58" spans="12:36" s="21" customFormat="1" x14ac:dyDescent="0.3"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</row>
    <row r="59" spans="12:36" s="21" customFormat="1" x14ac:dyDescent="0.3"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</row>
    <row r="60" spans="12:36" s="21" customFormat="1" x14ac:dyDescent="0.3"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</row>
    <row r="61" spans="12:36" s="21" customFormat="1" x14ac:dyDescent="0.3"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</row>
    <row r="62" spans="12:36" s="21" customFormat="1" x14ac:dyDescent="0.3"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</row>
    <row r="63" spans="12:36" s="21" customFormat="1" x14ac:dyDescent="0.3"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</row>
    <row r="64" spans="12:36" s="21" customFormat="1" x14ac:dyDescent="0.3"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</row>
    <row r="65" spans="3:36" s="21" customFormat="1" x14ac:dyDescent="0.3"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</row>
    <row r="66" spans="3:36" s="21" customFormat="1" x14ac:dyDescent="0.3"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</row>
    <row r="67" spans="3:36" s="21" customFormat="1" x14ac:dyDescent="0.3"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</row>
    <row r="68" spans="3:36" s="21" customFormat="1" x14ac:dyDescent="0.3"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</row>
    <row r="69" spans="3:36" s="21" customFormat="1" x14ac:dyDescent="0.3"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</row>
    <row r="70" spans="3:36" s="21" customFormat="1" x14ac:dyDescent="0.3"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</row>
    <row r="71" spans="3:36" s="21" customFormat="1" x14ac:dyDescent="0.3"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</row>
    <row r="72" spans="3:36" s="21" customFormat="1" x14ac:dyDescent="0.3"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</row>
    <row r="73" spans="3:36" s="21" customFormat="1" x14ac:dyDescent="0.3"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</row>
    <row r="74" spans="3:36" s="21" customFormat="1" x14ac:dyDescent="0.3"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</row>
    <row r="75" spans="3:36" s="21" customFormat="1" x14ac:dyDescent="0.3"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</row>
    <row r="76" spans="3:36" s="21" customFormat="1" x14ac:dyDescent="0.3"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</row>
    <row r="77" spans="3:36" s="21" customFormat="1" x14ac:dyDescent="0.3"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</row>
    <row r="78" spans="3:36" x14ac:dyDescent="0.3">
      <c r="C78" s="21"/>
      <c r="D78" s="21"/>
      <c r="E78" s="21"/>
      <c r="F78" s="21"/>
      <c r="G78" s="21"/>
      <c r="H78" s="21"/>
      <c r="I78" s="21"/>
      <c r="J78" s="21"/>
      <c r="K78" s="21"/>
    </row>
    <row r="79" spans="3:36" x14ac:dyDescent="0.3">
      <c r="C79" s="21"/>
      <c r="D79" s="21"/>
      <c r="E79" s="21"/>
      <c r="F79" s="21"/>
      <c r="G79" s="21"/>
      <c r="H79" s="21"/>
      <c r="I79" s="21"/>
      <c r="J79" s="21"/>
      <c r="K79" s="21"/>
    </row>
    <row r="80" spans="3:36" x14ac:dyDescent="0.3">
      <c r="C80" s="21"/>
      <c r="D80" s="21"/>
      <c r="E80" s="21"/>
      <c r="F80" s="21"/>
      <c r="G80" s="21"/>
      <c r="H80" s="21"/>
      <c r="I80" s="21"/>
      <c r="J80" s="21"/>
      <c r="K80" s="21"/>
    </row>
    <row r="81" spans="3:11" x14ac:dyDescent="0.3">
      <c r="C81" s="21"/>
      <c r="D81" s="21"/>
      <c r="E81" s="21"/>
      <c r="F81" s="21"/>
      <c r="G81" s="21"/>
      <c r="H81" s="21"/>
      <c r="I81" s="21"/>
      <c r="J81" s="21"/>
      <c r="K81" s="21"/>
    </row>
    <row r="82" spans="3:11" x14ac:dyDescent="0.3">
      <c r="C82" s="21"/>
      <c r="D82" s="21"/>
      <c r="E82" s="21"/>
      <c r="F82" s="21"/>
      <c r="G82" s="21"/>
      <c r="H82" s="21"/>
      <c r="I82" s="21"/>
      <c r="J82" s="21"/>
      <c r="K82" s="21"/>
    </row>
    <row r="83" spans="3:11" x14ac:dyDescent="0.3">
      <c r="C83" s="21"/>
      <c r="D83" s="21"/>
      <c r="E83" s="21"/>
      <c r="F83" s="21"/>
      <c r="G83" s="21"/>
      <c r="H83" s="21"/>
      <c r="I83" s="21"/>
      <c r="J83" s="21"/>
      <c r="K83" s="21"/>
    </row>
    <row r="84" spans="3:11" x14ac:dyDescent="0.3">
      <c r="C84" s="21"/>
      <c r="D84" s="21"/>
      <c r="E84" s="21"/>
      <c r="F84" s="21"/>
      <c r="G84" s="21"/>
      <c r="H84" s="21"/>
      <c r="I84" s="21"/>
      <c r="J84" s="21"/>
      <c r="K84" s="21"/>
    </row>
    <row r="85" spans="3:11" x14ac:dyDescent="0.3">
      <c r="C85" s="21"/>
      <c r="D85" s="21"/>
      <c r="E85" s="21"/>
      <c r="F85" s="21"/>
      <c r="G85" s="21"/>
      <c r="H85" s="21"/>
      <c r="I85" s="21"/>
      <c r="J85" s="21"/>
      <c r="K85" s="21"/>
    </row>
    <row r="86" spans="3:11" x14ac:dyDescent="0.3">
      <c r="C86" s="21"/>
      <c r="D86" s="21"/>
      <c r="E86" s="21"/>
      <c r="F86" s="21"/>
      <c r="G86" s="21"/>
      <c r="H86" s="21"/>
      <c r="I86" s="21"/>
      <c r="J86" s="21"/>
      <c r="K86" s="21"/>
    </row>
    <row r="87" spans="3:11" x14ac:dyDescent="0.3">
      <c r="C87" s="21"/>
      <c r="D87" s="21"/>
      <c r="E87" s="21"/>
      <c r="F87" s="21"/>
      <c r="G87" s="21"/>
      <c r="H87" s="21"/>
      <c r="I87" s="21"/>
      <c r="J87" s="21"/>
      <c r="K87" s="21"/>
    </row>
    <row r="88" spans="3:11" x14ac:dyDescent="0.3">
      <c r="C88" s="21"/>
      <c r="D88" s="21"/>
      <c r="E88" s="21"/>
      <c r="F88" s="21"/>
      <c r="G88" s="21"/>
      <c r="H88" s="21"/>
      <c r="I88" s="21"/>
      <c r="J88" s="21"/>
      <c r="K88" s="21"/>
    </row>
    <row r="89" spans="3:11" x14ac:dyDescent="0.3">
      <c r="C89" s="21"/>
      <c r="D89" s="21"/>
      <c r="E89" s="21"/>
      <c r="F89" s="21"/>
      <c r="G89" s="21"/>
      <c r="H89" s="21"/>
      <c r="I89" s="21"/>
      <c r="J89" s="21"/>
      <c r="K89" s="21"/>
    </row>
    <row r="90" spans="3:11" x14ac:dyDescent="0.3">
      <c r="C90" s="21"/>
      <c r="D90" s="21"/>
      <c r="E90" s="21"/>
      <c r="F90" s="21"/>
      <c r="G90" s="21"/>
      <c r="H90" s="21"/>
      <c r="I90" s="21"/>
      <c r="J90" s="21"/>
      <c r="K90" s="21"/>
    </row>
    <row r="91" spans="3:11" x14ac:dyDescent="0.3">
      <c r="C91" s="21"/>
      <c r="D91" s="21"/>
      <c r="E91" s="21"/>
      <c r="F91" s="21"/>
      <c r="G91" s="21"/>
      <c r="H91" s="21"/>
      <c r="I91" s="21"/>
      <c r="J91" s="21"/>
      <c r="K91" s="21"/>
    </row>
    <row r="92" spans="3:11" x14ac:dyDescent="0.3">
      <c r="C92" s="21"/>
      <c r="D92" s="21"/>
      <c r="E92" s="21"/>
      <c r="F92" s="21"/>
      <c r="G92" s="21"/>
      <c r="H92" s="21"/>
      <c r="I92" s="21"/>
      <c r="J92" s="21"/>
      <c r="K92" s="21"/>
    </row>
    <row r="93" spans="3:11" x14ac:dyDescent="0.3">
      <c r="C93" s="21"/>
      <c r="D93" s="21"/>
      <c r="E93" s="21"/>
      <c r="F93" s="21"/>
      <c r="G93" s="21"/>
      <c r="H93" s="21"/>
      <c r="I93" s="21"/>
      <c r="J93" s="21"/>
      <c r="K93" s="21"/>
    </row>
    <row r="94" spans="3:11" x14ac:dyDescent="0.3">
      <c r="C94" s="21"/>
      <c r="D94" s="21"/>
      <c r="E94" s="21"/>
      <c r="F94" s="21"/>
      <c r="G94" s="21"/>
      <c r="H94" s="21"/>
      <c r="I94" s="21"/>
      <c r="J94" s="21"/>
      <c r="K94" s="21"/>
    </row>
    <row r="95" spans="3:11" x14ac:dyDescent="0.3">
      <c r="C95" s="21"/>
      <c r="D95" s="21"/>
      <c r="E95" s="21"/>
      <c r="F95" s="21"/>
      <c r="G95" s="21"/>
      <c r="H95" s="21"/>
      <c r="I95" s="21"/>
      <c r="J95" s="21"/>
      <c r="K95" s="21"/>
    </row>
    <row r="96" spans="3:11" x14ac:dyDescent="0.3">
      <c r="C96" s="21"/>
      <c r="D96" s="21"/>
      <c r="E96" s="21"/>
      <c r="F96" s="21"/>
      <c r="G96" s="21"/>
      <c r="H96" s="21"/>
      <c r="I96" s="21"/>
      <c r="J96" s="21"/>
      <c r="K96" s="21"/>
    </row>
    <row r="97" spans="3:11" x14ac:dyDescent="0.3">
      <c r="C97" s="21"/>
      <c r="D97" s="21"/>
      <c r="E97" s="21"/>
      <c r="F97" s="21"/>
      <c r="G97" s="21"/>
      <c r="H97" s="21"/>
      <c r="I97" s="21"/>
      <c r="J97" s="21"/>
      <c r="K97" s="21"/>
    </row>
    <row r="98" spans="3:11" x14ac:dyDescent="0.3">
      <c r="C98" s="21"/>
      <c r="D98" s="21"/>
      <c r="E98" s="21"/>
      <c r="F98" s="21"/>
      <c r="G98" s="21"/>
      <c r="H98" s="21"/>
      <c r="I98" s="21"/>
      <c r="J98" s="21"/>
      <c r="K98" s="21"/>
    </row>
    <row r="99" spans="3:11" x14ac:dyDescent="0.3">
      <c r="C99" s="21"/>
      <c r="D99" s="21"/>
      <c r="E99" s="21"/>
      <c r="F99" s="21"/>
      <c r="G99" s="21"/>
      <c r="H99" s="21"/>
      <c r="I99" s="21"/>
      <c r="J99" s="21"/>
      <c r="K99" s="21"/>
    </row>
    <row r="100" spans="3:11" x14ac:dyDescent="0.3">
      <c r="C100" s="21"/>
      <c r="D100" s="21"/>
      <c r="E100" s="21"/>
      <c r="F100" s="21"/>
      <c r="G100" s="21"/>
      <c r="H100" s="21"/>
      <c r="I100" s="21"/>
      <c r="J100" s="21"/>
      <c r="K100" s="21"/>
    </row>
    <row r="101" spans="3:11" x14ac:dyDescent="0.3">
      <c r="C101" s="21"/>
      <c r="D101" s="21"/>
      <c r="E101" s="21"/>
      <c r="F101" s="21"/>
      <c r="G101" s="21"/>
      <c r="H101" s="21"/>
      <c r="I101" s="21"/>
      <c r="J101" s="21"/>
      <c r="K101" s="21"/>
    </row>
    <row r="102" spans="3:11" x14ac:dyDescent="0.3">
      <c r="C102" s="21"/>
      <c r="D102" s="21"/>
      <c r="E102" s="21"/>
      <c r="F102" s="21"/>
      <c r="G102" s="21"/>
      <c r="H102" s="21"/>
      <c r="I102" s="21"/>
      <c r="J102" s="21"/>
      <c r="K102" s="21"/>
    </row>
    <row r="103" spans="3:11" x14ac:dyDescent="0.3">
      <c r="C103" s="21"/>
      <c r="D103" s="21"/>
      <c r="E103" s="21"/>
      <c r="F103" s="21"/>
      <c r="G103" s="21"/>
      <c r="H103" s="21"/>
      <c r="I103" s="21"/>
      <c r="J103" s="21"/>
      <c r="K103" s="21"/>
    </row>
    <row r="104" spans="3:11" x14ac:dyDescent="0.3">
      <c r="C104" s="21"/>
      <c r="D104" s="21"/>
      <c r="E104" s="21"/>
      <c r="F104" s="21"/>
      <c r="G104" s="21"/>
      <c r="H104" s="21"/>
      <c r="I104" s="21"/>
      <c r="J104" s="21"/>
      <c r="K104" s="21"/>
    </row>
    <row r="105" spans="3:11" x14ac:dyDescent="0.3">
      <c r="C105" s="21"/>
      <c r="D105" s="21"/>
      <c r="E105" s="21"/>
      <c r="F105" s="21"/>
      <c r="G105" s="21"/>
      <c r="H105" s="21"/>
      <c r="I105" s="21"/>
      <c r="J105" s="21"/>
      <c r="K105" s="21"/>
    </row>
    <row r="106" spans="3:11" x14ac:dyDescent="0.3">
      <c r="C106" s="21"/>
      <c r="D106" s="21"/>
      <c r="E106" s="21"/>
      <c r="F106" s="21"/>
      <c r="G106" s="21"/>
      <c r="H106" s="21"/>
      <c r="I106" s="21"/>
      <c r="J106" s="21"/>
      <c r="K106" s="21"/>
    </row>
    <row r="107" spans="3:11" x14ac:dyDescent="0.3">
      <c r="C107" s="21"/>
      <c r="D107" s="21"/>
      <c r="E107" s="21"/>
      <c r="F107" s="21"/>
      <c r="G107" s="21"/>
      <c r="H107" s="21"/>
      <c r="I107" s="21"/>
      <c r="J107" s="21"/>
      <c r="K107" s="21"/>
    </row>
    <row r="108" spans="3:11" x14ac:dyDescent="0.3">
      <c r="C108" s="21"/>
      <c r="D108" s="21"/>
      <c r="E108" s="21"/>
      <c r="F108" s="21"/>
      <c r="G108" s="21"/>
      <c r="H108" s="21"/>
      <c r="I108" s="21"/>
      <c r="J108" s="21"/>
      <c r="K108" s="21"/>
    </row>
    <row r="109" spans="3:11" x14ac:dyDescent="0.3">
      <c r="C109" s="21"/>
      <c r="D109" s="21"/>
      <c r="E109" s="21"/>
      <c r="F109" s="21"/>
      <c r="G109" s="21"/>
      <c r="H109" s="21"/>
      <c r="I109" s="21"/>
      <c r="J109" s="21"/>
      <c r="K109" s="21"/>
    </row>
    <row r="110" spans="3:11" x14ac:dyDescent="0.3">
      <c r="C110" s="21"/>
      <c r="D110" s="21"/>
      <c r="E110" s="21"/>
      <c r="F110" s="21"/>
      <c r="G110" s="21"/>
      <c r="H110" s="21"/>
      <c r="I110" s="21"/>
      <c r="J110" s="21"/>
      <c r="K110" s="21"/>
    </row>
    <row r="111" spans="3:11" x14ac:dyDescent="0.3">
      <c r="C111" s="21"/>
      <c r="D111" s="21"/>
      <c r="E111" s="21"/>
      <c r="F111" s="21"/>
      <c r="G111" s="21"/>
      <c r="H111" s="21"/>
      <c r="I111" s="21"/>
      <c r="J111" s="21"/>
      <c r="K111" s="21"/>
    </row>
    <row r="112" spans="3:11" x14ac:dyDescent="0.3">
      <c r="C112" s="21"/>
      <c r="D112" s="21"/>
      <c r="E112" s="21"/>
      <c r="F112" s="21"/>
      <c r="G112" s="21"/>
      <c r="H112" s="21"/>
      <c r="I112" s="21"/>
      <c r="J112" s="21"/>
      <c r="K112" s="21"/>
    </row>
    <row r="113" spans="3:11" x14ac:dyDescent="0.3">
      <c r="C113" s="21"/>
      <c r="D113" s="21"/>
      <c r="E113" s="21"/>
      <c r="F113" s="21"/>
      <c r="G113" s="21"/>
      <c r="H113" s="21"/>
      <c r="I113" s="21"/>
      <c r="J113" s="21"/>
      <c r="K113" s="21"/>
    </row>
    <row r="114" spans="3:11" x14ac:dyDescent="0.3">
      <c r="C114" s="21"/>
      <c r="D114" s="21"/>
      <c r="E114" s="21"/>
      <c r="F114" s="21"/>
      <c r="G114" s="21"/>
      <c r="H114" s="21"/>
      <c r="I114" s="21"/>
      <c r="J114" s="21"/>
      <c r="K114" s="21"/>
    </row>
    <row r="115" spans="3:11" x14ac:dyDescent="0.3">
      <c r="C115" s="21"/>
      <c r="D115" s="21"/>
      <c r="E115" s="21"/>
      <c r="F115" s="21"/>
      <c r="G115" s="21"/>
      <c r="H115" s="21"/>
      <c r="I115" s="21"/>
      <c r="J115" s="21"/>
      <c r="K115" s="21"/>
    </row>
  </sheetData>
  <conditionalFormatting sqref="B20">
    <cfRule type="expression" dxfId="1" priority="2" stopIfTrue="1">
      <formula>RiskIsOutput</formula>
    </cfRule>
  </conditionalFormatting>
  <pageMargins left="0.75" right="0.75" top="1" bottom="1" header="0.5" footer="0.5"/>
  <pageSetup scale="87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J115"/>
  <sheetViews>
    <sheetView topLeftCell="A2" zoomScaleNormal="100" workbookViewId="0"/>
  </sheetViews>
  <sheetFormatPr defaultColWidth="9.109375" defaultRowHeight="14.4" x14ac:dyDescent="0.3"/>
  <cols>
    <col min="1" max="1" width="20.88671875" style="2" customWidth="1"/>
    <col min="2" max="2" width="15.6640625" style="2" customWidth="1"/>
    <col min="3" max="3" width="9.109375" style="2"/>
    <col min="4" max="4" width="20.88671875" style="2" bestFit="1" customWidth="1"/>
    <col min="5" max="9" width="9.33203125" style="2" customWidth="1"/>
    <col min="10" max="11" width="9.33203125" style="2" bestFit="1" customWidth="1"/>
    <col min="12" max="14" width="9.33203125" style="23" bestFit="1" customWidth="1"/>
    <col min="15" max="15" width="9.109375" style="23"/>
    <col min="16" max="16" width="10.33203125" style="23" bestFit="1" customWidth="1"/>
    <col min="17" max="36" width="9.109375" style="23"/>
    <col min="37" max="16384" width="9.109375" style="2"/>
  </cols>
  <sheetData>
    <row r="1" spans="1:14" ht="21" x14ac:dyDescent="0.4">
      <c r="A1" s="13" t="s">
        <v>48</v>
      </c>
    </row>
    <row r="3" spans="1:14" ht="18" x14ac:dyDescent="0.35">
      <c r="A3" s="14" t="s">
        <v>19</v>
      </c>
      <c r="B3" s="15"/>
      <c r="E3" s="16" t="s">
        <v>46</v>
      </c>
      <c r="F3" s="17"/>
      <c r="G3" s="17"/>
      <c r="H3" s="17"/>
      <c r="I3" s="17"/>
      <c r="J3" s="17"/>
      <c r="K3" s="17"/>
      <c r="L3" s="17"/>
      <c r="M3" s="17"/>
      <c r="N3" s="17"/>
    </row>
    <row r="4" spans="1:14" x14ac:dyDescent="0.3">
      <c r="A4" s="1" t="s">
        <v>44</v>
      </c>
      <c r="B4" s="27">
        <v>10</v>
      </c>
      <c r="D4" s="8" t="s">
        <v>43</v>
      </c>
      <c r="E4" s="9">
        <v>1</v>
      </c>
      <c r="F4" s="9">
        <v>2</v>
      </c>
      <c r="G4" s="9">
        <v>3</v>
      </c>
      <c r="H4" s="9">
        <v>4</v>
      </c>
      <c r="I4" s="9">
        <v>5</v>
      </c>
      <c r="J4" s="9">
        <v>6</v>
      </c>
      <c r="K4" s="9">
        <v>7</v>
      </c>
      <c r="L4" s="9">
        <v>8</v>
      </c>
      <c r="M4" s="9">
        <v>9</v>
      </c>
      <c r="N4" s="9">
        <v>10</v>
      </c>
    </row>
    <row r="5" spans="1:14" x14ac:dyDescent="0.3">
      <c r="A5" s="8" t="s">
        <v>45</v>
      </c>
      <c r="B5" s="11" t="e">
        <f ca="1">Data!$B$6*(1+Data!B21)^B4</f>
        <v>#NAME?</v>
      </c>
      <c r="D5" s="8" t="s">
        <v>21</v>
      </c>
      <c r="E5" s="22">
        <f>Data!B16</f>
        <v>192000</v>
      </c>
      <c r="F5" s="22" t="e">
        <f ca="1">E5*(1+Data!$B$17)</f>
        <v>#NAME?</v>
      </c>
      <c r="G5" s="22" t="e">
        <f ca="1">F5*(1+Data!$B$17)</f>
        <v>#NAME?</v>
      </c>
      <c r="H5" s="22" t="e">
        <f ca="1">G5*(1+Data!$B$17)</f>
        <v>#NAME?</v>
      </c>
      <c r="I5" s="22" t="e">
        <f ca="1">H5*(1+Data!$B$17)</f>
        <v>#NAME?</v>
      </c>
      <c r="J5" s="22" t="e">
        <f ca="1">I5*(1+Data!$B$17)</f>
        <v>#NAME?</v>
      </c>
      <c r="K5" s="22" t="e">
        <f ca="1">J5*(1+Data!$B$17)</f>
        <v>#NAME?</v>
      </c>
      <c r="L5" s="22" t="e">
        <f ca="1">K5*(1+Data!$B$17)</f>
        <v>#NAME?</v>
      </c>
      <c r="M5" s="54" t="e">
        <f ca="1">L5*(1+Data!$B$17)</f>
        <v>#NAME?</v>
      </c>
      <c r="N5" s="54" t="e">
        <f ca="1">M5*(1+Data!$B$17)</f>
        <v>#NAME?</v>
      </c>
    </row>
    <row r="6" spans="1:14" x14ac:dyDescent="0.3">
      <c r="A6" s="8" t="s">
        <v>20</v>
      </c>
      <c r="B6" s="10"/>
      <c r="D6" s="8" t="s">
        <v>23</v>
      </c>
      <c r="E6" s="22"/>
      <c r="F6" s="22"/>
      <c r="G6" s="22"/>
      <c r="H6" s="22"/>
      <c r="I6" s="22"/>
      <c r="J6" s="22"/>
      <c r="K6" s="22"/>
      <c r="L6" s="22"/>
      <c r="M6" s="54"/>
      <c r="N6" s="54"/>
    </row>
    <row r="7" spans="1:14" x14ac:dyDescent="0.3">
      <c r="A7" s="8" t="s">
        <v>22</v>
      </c>
      <c r="B7" s="11" t="e">
        <f ca="1">Data!$B$22*B5</f>
        <v>#NAME?</v>
      </c>
      <c r="D7" s="8" t="s">
        <v>25</v>
      </c>
      <c r="E7" s="22" t="e">
        <f ca="1">Data!$B$18*E5</f>
        <v>#NAME?</v>
      </c>
      <c r="F7" s="22" t="e">
        <f ca="1">Data!$B$18*F5</f>
        <v>#NAME?</v>
      </c>
      <c r="G7" s="22" t="e">
        <f ca="1">Data!$B$18*G5</f>
        <v>#NAME?</v>
      </c>
      <c r="H7" s="22" t="e">
        <f ca="1">Data!$B$18*H5</f>
        <v>#NAME?</v>
      </c>
      <c r="I7" s="22" t="e">
        <f ca="1">Data!$B$18*I5</f>
        <v>#NAME?</v>
      </c>
      <c r="J7" s="22" t="e">
        <f ca="1">Data!$B$18*J5</f>
        <v>#NAME?</v>
      </c>
      <c r="K7" s="22" t="e">
        <f ca="1">Data!$B$18*K5</f>
        <v>#NAME?</v>
      </c>
      <c r="L7" s="22" t="e">
        <f ca="1">Data!$B$18*L5</f>
        <v>#NAME?</v>
      </c>
      <c r="M7" s="54" t="e">
        <f ca="1">Data!$B$18*M5</f>
        <v>#NAME?</v>
      </c>
      <c r="N7" s="54" t="e">
        <f ca="1">Data!$B$18*N5</f>
        <v>#NAME?</v>
      </c>
    </row>
    <row r="8" spans="1:14" x14ac:dyDescent="0.3">
      <c r="A8" s="8" t="s">
        <v>24</v>
      </c>
      <c r="B8" s="11" t="e">
        <f ca="1">Data!$B$6-SUM(E8:N8)</f>
        <v>#NAME?</v>
      </c>
      <c r="D8" s="8" t="s">
        <v>27</v>
      </c>
      <c r="E8" s="22" t="e">
        <f ca="1">Data!$B$19*E5</f>
        <v>#NAME?</v>
      </c>
      <c r="F8" s="22" t="e">
        <f ca="1">Data!$B$19*F5</f>
        <v>#NAME?</v>
      </c>
      <c r="G8" s="22" t="e">
        <f ca="1">Data!$B$19*G5</f>
        <v>#NAME?</v>
      </c>
      <c r="H8" s="22" t="e">
        <f ca="1">Data!$B$19*H5</f>
        <v>#NAME?</v>
      </c>
      <c r="I8" s="22" t="e">
        <f ca="1">Data!$B$19*I5</f>
        <v>#NAME?</v>
      </c>
      <c r="J8" s="22" t="e">
        <f ca="1">Data!$B$19*J5</f>
        <v>#NAME?</v>
      </c>
      <c r="K8" s="22" t="e">
        <f ca="1">Data!$B$19*K5</f>
        <v>#NAME?</v>
      </c>
      <c r="L8" s="22" t="e">
        <f ca="1">Data!$B$19*L5</f>
        <v>#NAME?</v>
      </c>
      <c r="M8" s="54" t="e">
        <f ca="1">Data!$B$19*M5</f>
        <v>#NAME?</v>
      </c>
      <c r="N8" s="54" t="e">
        <f ca="1">Data!$B$19*N5</f>
        <v>#NAME?</v>
      </c>
    </row>
    <row r="9" spans="1:14" ht="15" thickBot="1" x14ac:dyDescent="0.35">
      <c r="A9" s="8" t="s">
        <v>26</v>
      </c>
      <c r="B9" s="12" t="e">
        <f ca="1">B5-B7-B8</f>
        <v>#NAME?</v>
      </c>
      <c r="D9" s="8" t="s">
        <v>28</v>
      </c>
      <c r="E9" s="22" t="e">
        <f t="shared" ref="E9:I9" ca="1" si="0">E5-E7-E8</f>
        <v>#NAME?</v>
      </c>
      <c r="F9" s="22" t="e">
        <f t="shared" ca="1" si="0"/>
        <v>#NAME?</v>
      </c>
      <c r="G9" s="22" t="e">
        <f t="shared" ca="1" si="0"/>
        <v>#NAME?</v>
      </c>
      <c r="H9" s="22" t="e">
        <f t="shared" ca="1" si="0"/>
        <v>#NAME?</v>
      </c>
      <c r="I9" s="22" t="e">
        <f t="shared" ca="1" si="0"/>
        <v>#NAME?</v>
      </c>
      <c r="J9" s="22" t="e">
        <f t="shared" ref="J9:N9" ca="1" si="1">J5-J7-J8</f>
        <v>#NAME?</v>
      </c>
      <c r="K9" s="22" t="e">
        <f t="shared" ca="1" si="1"/>
        <v>#NAME?</v>
      </c>
      <c r="L9" s="22" t="e">
        <f t="shared" ca="1" si="1"/>
        <v>#NAME?</v>
      </c>
      <c r="M9" s="54" t="e">
        <f t="shared" ca="1" si="1"/>
        <v>#NAME?</v>
      </c>
      <c r="N9" s="54" t="e">
        <f t="shared" ca="1" si="1"/>
        <v>#NAME?</v>
      </c>
    </row>
    <row r="10" spans="1:14" ht="15" thickTop="1" x14ac:dyDescent="0.3">
      <c r="A10" s="8"/>
      <c r="B10" s="11"/>
      <c r="D10" s="8" t="s">
        <v>23</v>
      </c>
      <c r="E10" s="22"/>
      <c r="F10" s="22"/>
      <c r="G10" s="22"/>
      <c r="H10" s="22"/>
      <c r="I10" s="22"/>
      <c r="J10" s="22"/>
      <c r="K10" s="22"/>
      <c r="L10" s="22"/>
      <c r="M10" s="54"/>
      <c r="N10" s="54"/>
    </row>
    <row r="11" spans="1:14" x14ac:dyDescent="0.3">
      <c r="A11" s="8" t="s">
        <v>29</v>
      </c>
      <c r="B11" s="11" t="e">
        <f ca="1">B5-B7</f>
        <v>#NAME?</v>
      </c>
      <c r="D11" s="8" t="s">
        <v>30</v>
      </c>
      <c r="E11" s="22">
        <f>Data!$B$5/27.5</f>
        <v>29090.909090909092</v>
      </c>
      <c r="F11" s="22">
        <f>Data!$B$5/27.5</f>
        <v>29090.909090909092</v>
      </c>
      <c r="G11" s="22">
        <f>Data!$B$5/27.5</f>
        <v>29090.909090909092</v>
      </c>
      <c r="H11" s="22">
        <f>Data!$B$5/27.5</f>
        <v>29090.909090909092</v>
      </c>
      <c r="I11" s="22">
        <f>Data!$B$5/27.5</f>
        <v>29090.909090909092</v>
      </c>
      <c r="J11" s="22">
        <f>Data!$B$5/27.5</f>
        <v>29090.909090909092</v>
      </c>
      <c r="K11" s="22">
        <f>Data!$B$5/27.5</f>
        <v>29090.909090909092</v>
      </c>
      <c r="L11" s="22">
        <f>Data!$B$5/27.5</f>
        <v>29090.909090909092</v>
      </c>
      <c r="M11" s="54">
        <f>Data!$B$5/27.5</f>
        <v>29090.909090909092</v>
      </c>
      <c r="N11" s="54">
        <f>Data!$B$5/27.5</f>
        <v>29090.909090909092</v>
      </c>
    </row>
    <row r="12" spans="1:14" x14ac:dyDescent="0.3">
      <c r="A12" s="8" t="s">
        <v>20</v>
      </c>
      <c r="B12" s="10"/>
      <c r="D12" s="8" t="s">
        <v>32</v>
      </c>
      <c r="E12" s="22">
        <f>-CUMIPMT(Data!$B$11,Data!$B$12,Data!$B$10,E$4,E$4,0)</f>
        <v>35000</v>
      </c>
      <c r="F12" s="22">
        <f>-CUMIPMT(Data!$B$11,Data!$B$12,Data!$B$10,F$4,F$4,0)</f>
        <v>33378.019933676449</v>
      </c>
      <c r="G12" s="22">
        <f>-CUMIPMT(Data!$B$11,Data!$B$12,Data!$B$10,G$4,G$4,0)</f>
        <v>31674.940864036718</v>
      </c>
      <c r="H12" s="22">
        <f>-CUMIPMT(Data!$B$11,Data!$B$12,Data!$B$10,H$4,H$4,0)</f>
        <v>29886.707840914991</v>
      </c>
      <c r="I12" s="22">
        <f>-CUMIPMT(Data!$B$11,Data!$B$12,Data!$B$10,I$4,I$4,0)</f>
        <v>28009.063166637192</v>
      </c>
      <c r="J12" s="22">
        <f>-CUMIPMT(Data!$B$11,Data!$B$12,Data!$B$10,J$4,J$4,0)</f>
        <v>26037.536258645494</v>
      </c>
      <c r="K12" s="22">
        <f>-CUMIPMT(Data!$B$11,Data!$B$12,Data!$B$10,K$4,K$4,0)</f>
        <v>23967.433005254221</v>
      </c>
      <c r="L12" s="22">
        <f>-CUMIPMT(Data!$B$11,Data!$B$12,Data!$B$10,L$4,L$4,0)</f>
        <v>21793.824589193377</v>
      </c>
      <c r="M12" s="54">
        <f>-CUMIPMT(Data!$B$11,Data!$B$12,Data!$B$10,M$4,M$4,0)</f>
        <v>19511.535752329495</v>
      </c>
      <c r="N12" s="54">
        <f>-CUMIPMT(Data!$B$11,Data!$B$12,Data!$B$10,N$4,N$4,0)</f>
        <v>17115.132473622412</v>
      </c>
    </row>
    <row r="13" spans="1:14" x14ac:dyDescent="0.3">
      <c r="A13" s="8" t="s">
        <v>31</v>
      </c>
      <c r="B13" s="11" t="e">
        <f ca="1">Data!$B$20*B9</f>
        <v>#NAME?</v>
      </c>
      <c r="D13" s="8" t="s">
        <v>34</v>
      </c>
      <c r="E13" s="22" t="e">
        <f t="shared" ref="E13:I13" ca="1" si="2">E9-E11-E12</f>
        <v>#NAME?</v>
      </c>
      <c r="F13" s="22" t="e">
        <f t="shared" ca="1" si="2"/>
        <v>#NAME?</v>
      </c>
      <c r="G13" s="22" t="e">
        <f t="shared" ca="1" si="2"/>
        <v>#NAME?</v>
      </c>
      <c r="H13" s="22" t="e">
        <f t="shared" ca="1" si="2"/>
        <v>#NAME?</v>
      </c>
      <c r="I13" s="22" t="e">
        <f t="shared" ca="1" si="2"/>
        <v>#NAME?</v>
      </c>
      <c r="J13" s="22" t="e">
        <f t="shared" ref="J13:N13" ca="1" si="3">J9-J11-J12</f>
        <v>#NAME?</v>
      </c>
      <c r="K13" s="22" t="e">
        <f t="shared" ca="1" si="3"/>
        <v>#NAME?</v>
      </c>
      <c r="L13" s="22" t="e">
        <f t="shared" ca="1" si="3"/>
        <v>#NAME?</v>
      </c>
      <c r="M13" s="54" t="e">
        <f t="shared" ca="1" si="3"/>
        <v>#NAME?</v>
      </c>
      <c r="N13" s="54" t="e">
        <f t="shared" ca="1" si="3"/>
        <v>#NAME?</v>
      </c>
    </row>
    <row r="14" spans="1:14" x14ac:dyDescent="0.3">
      <c r="A14" s="8" t="s">
        <v>33</v>
      </c>
      <c r="B14" s="11">
        <f>Data!$B$10-SUM(E17:N17)</f>
        <v>291978.18061959971</v>
      </c>
      <c r="D14" s="10"/>
      <c r="E14" s="22"/>
      <c r="F14" s="22"/>
      <c r="G14" s="22"/>
      <c r="H14" s="22"/>
      <c r="I14" s="22"/>
      <c r="J14" s="22"/>
      <c r="K14" s="22"/>
      <c r="L14" s="22"/>
      <c r="M14" s="54"/>
      <c r="N14" s="54"/>
    </row>
    <row r="15" spans="1:14" ht="15" thickBot="1" x14ac:dyDescent="0.35">
      <c r="A15" s="8" t="s">
        <v>35</v>
      </c>
      <c r="B15" s="12" t="e">
        <f ca="1">B11-B13-B14</f>
        <v>#NAME?</v>
      </c>
      <c r="D15" s="8" t="s">
        <v>36</v>
      </c>
      <c r="E15" s="22" t="e">
        <f ca="1">Data!$B$20*E13</f>
        <v>#NAME?</v>
      </c>
      <c r="F15" s="22" t="e">
        <f ca="1">Data!$B$20*F13</f>
        <v>#NAME?</v>
      </c>
      <c r="G15" s="22" t="e">
        <f ca="1">Data!$B$20*G13</f>
        <v>#NAME?</v>
      </c>
      <c r="H15" s="22" t="e">
        <f ca="1">Data!$B$20*H13</f>
        <v>#NAME?</v>
      </c>
      <c r="I15" s="22" t="e">
        <f ca="1">Data!$B$20*I13</f>
        <v>#NAME?</v>
      </c>
      <c r="J15" s="22" t="e">
        <f ca="1">Data!$B$20*J13</f>
        <v>#NAME?</v>
      </c>
      <c r="K15" s="22" t="e">
        <f ca="1">Data!$B$20*K13</f>
        <v>#NAME?</v>
      </c>
      <c r="L15" s="22" t="e">
        <f ca="1">Data!$B$20*L13</f>
        <v>#NAME?</v>
      </c>
      <c r="M15" s="54" t="e">
        <f ca="1">Data!$B$20*M13</f>
        <v>#NAME?</v>
      </c>
      <c r="N15" s="54" t="e">
        <f ca="1">Data!$B$20*N13</f>
        <v>#NAME?</v>
      </c>
    </row>
    <row r="16" spans="1:14" ht="15" thickTop="1" x14ac:dyDescent="0.3">
      <c r="A16" s="10"/>
      <c r="B16" s="10"/>
      <c r="D16" s="8"/>
      <c r="E16" s="22"/>
      <c r="F16" s="22"/>
      <c r="G16" s="22"/>
      <c r="H16" s="22"/>
      <c r="I16" s="22"/>
      <c r="J16" s="22"/>
      <c r="K16" s="22"/>
      <c r="L16" s="22"/>
      <c r="M16" s="54"/>
      <c r="N16" s="54"/>
    </row>
    <row r="17" spans="1:36" x14ac:dyDescent="0.3">
      <c r="A17" s="8" t="s">
        <v>37</v>
      </c>
      <c r="B17" s="11" t="e">
        <f ca="1">-PV(Data!$B$23,B4,,$B$15,1)</f>
        <v>#NAME?</v>
      </c>
      <c r="D17" s="8" t="s">
        <v>39</v>
      </c>
      <c r="E17" s="22">
        <f>Data!$B$13-E12</f>
        <v>32439.601326471064</v>
      </c>
      <c r="F17" s="22">
        <f>Data!$B$13-F12</f>
        <v>34061.581392794615</v>
      </c>
      <c r="G17" s="22">
        <f>Data!$B$13-G12</f>
        <v>35764.660462434345</v>
      </c>
      <c r="H17" s="22">
        <f>Data!$B$13-H12</f>
        <v>37552.893485556073</v>
      </c>
      <c r="I17" s="22">
        <f>Data!$B$13-I12</f>
        <v>39430.538159833872</v>
      </c>
      <c r="J17" s="22">
        <f>Data!$B$13-J12</f>
        <v>41402.06506782557</v>
      </c>
      <c r="K17" s="22">
        <f>Data!$B$13-K12</f>
        <v>43472.168321216843</v>
      </c>
      <c r="L17" s="22">
        <f>Data!$B$13-L12</f>
        <v>45645.776737277687</v>
      </c>
      <c r="M17" s="54">
        <f>Data!$B$13-M12</f>
        <v>47928.065574141569</v>
      </c>
      <c r="N17" s="54">
        <f>Data!$B$13-N12</f>
        <v>50324.468852848651</v>
      </c>
    </row>
    <row r="18" spans="1:36" x14ac:dyDescent="0.3">
      <c r="A18" s="8" t="s">
        <v>38</v>
      </c>
      <c r="B18" s="11" t="e">
        <f ca="1">NPV(Data!$B$23, E19:N19)</f>
        <v>#NAME?</v>
      </c>
      <c r="D18" s="8"/>
      <c r="E18" s="22"/>
      <c r="F18" s="22"/>
      <c r="G18" s="22"/>
      <c r="H18" s="22"/>
      <c r="I18" s="22"/>
      <c r="J18" s="22"/>
      <c r="K18" s="22"/>
      <c r="L18" s="22"/>
      <c r="M18" s="54"/>
      <c r="N18" s="54"/>
    </row>
    <row r="19" spans="1:36" x14ac:dyDescent="0.3">
      <c r="A19" s="8" t="s">
        <v>40</v>
      </c>
      <c r="B19" s="11">
        <f>Data!$B$9</f>
        <v>300000</v>
      </c>
      <c r="D19" s="8" t="s">
        <v>42</v>
      </c>
      <c r="E19" s="22" t="e">
        <f t="shared" ref="E19:I19" ca="1" si="4">E9-E12-E15-E17</f>
        <v>#NAME?</v>
      </c>
      <c r="F19" s="22" t="e">
        <f t="shared" ca="1" si="4"/>
        <v>#NAME?</v>
      </c>
      <c r="G19" s="22" t="e">
        <f t="shared" ca="1" si="4"/>
        <v>#NAME?</v>
      </c>
      <c r="H19" s="22" t="e">
        <f t="shared" ca="1" si="4"/>
        <v>#NAME?</v>
      </c>
      <c r="I19" s="22" t="e">
        <f t="shared" ca="1" si="4"/>
        <v>#NAME?</v>
      </c>
      <c r="J19" s="22" t="e">
        <f t="shared" ref="J19:N19" ca="1" si="5">J9-J12-J15-J17</f>
        <v>#NAME?</v>
      </c>
      <c r="K19" s="22" t="e">
        <f t="shared" ca="1" si="5"/>
        <v>#NAME?</v>
      </c>
      <c r="L19" s="22" t="e">
        <f t="shared" ca="1" si="5"/>
        <v>#NAME?</v>
      </c>
      <c r="M19" s="54" t="e">
        <f t="shared" ca="1" si="5"/>
        <v>#NAME?</v>
      </c>
      <c r="N19" s="54" t="e">
        <f t="shared" ca="1" si="5"/>
        <v>#NAME?</v>
      </c>
    </row>
    <row r="20" spans="1:36" ht="15" thickBot="1" x14ac:dyDescent="0.35">
      <c r="A20" s="8" t="s">
        <v>41</v>
      </c>
      <c r="B20" s="12" t="e">
        <f ca="1">_xll.RiskOutput()+B17+B18-B19</f>
        <v>#NAME?</v>
      </c>
      <c r="C20" s="21"/>
      <c r="D20" s="21"/>
      <c r="E20" s="21"/>
      <c r="F20" s="21"/>
      <c r="G20" s="21"/>
      <c r="H20" s="21"/>
      <c r="I20" s="21"/>
      <c r="J20" s="21"/>
      <c r="K20" s="21"/>
    </row>
    <row r="21" spans="1:36" s="21" customFormat="1" ht="15" thickTop="1" x14ac:dyDescent="0.3"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</row>
    <row r="22" spans="1:36" s="21" customFormat="1" x14ac:dyDescent="0.3"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</row>
    <row r="23" spans="1:36" s="21" customFormat="1" x14ac:dyDescent="0.3"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</row>
    <row r="24" spans="1:36" s="21" customFormat="1" x14ac:dyDescent="0.3"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</row>
    <row r="25" spans="1:36" s="21" customFormat="1" x14ac:dyDescent="0.3">
      <c r="A25" s="49"/>
      <c r="B25" s="50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</row>
    <row r="26" spans="1:36" s="21" customFormat="1" x14ac:dyDescent="0.3">
      <c r="A26" s="49"/>
      <c r="B26" s="51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</row>
    <row r="27" spans="1:36" s="21" customFormat="1" x14ac:dyDescent="0.3">
      <c r="A27" s="52"/>
      <c r="B27" s="5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</row>
    <row r="28" spans="1:36" s="21" customFormat="1" x14ac:dyDescent="0.3"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</row>
    <row r="29" spans="1:36" s="21" customFormat="1" x14ac:dyDescent="0.3"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</row>
    <row r="30" spans="1:36" s="21" customFormat="1" x14ac:dyDescent="0.3"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</row>
    <row r="31" spans="1:36" s="21" customFormat="1" x14ac:dyDescent="0.3"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</row>
    <row r="32" spans="1:36" s="21" customFormat="1" x14ac:dyDescent="0.3"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</row>
    <row r="33" spans="12:36" s="21" customFormat="1" x14ac:dyDescent="0.3"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</row>
    <row r="34" spans="12:36" s="21" customFormat="1" x14ac:dyDescent="0.3"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</row>
    <row r="35" spans="12:36" s="21" customFormat="1" x14ac:dyDescent="0.3"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</row>
    <row r="36" spans="12:36" s="21" customFormat="1" x14ac:dyDescent="0.3"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</row>
    <row r="37" spans="12:36" s="21" customFormat="1" x14ac:dyDescent="0.3"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</row>
    <row r="38" spans="12:36" s="21" customFormat="1" x14ac:dyDescent="0.3"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</row>
    <row r="39" spans="12:36" s="21" customFormat="1" x14ac:dyDescent="0.3"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</row>
    <row r="40" spans="12:36" s="21" customFormat="1" x14ac:dyDescent="0.3"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</row>
    <row r="41" spans="12:36" s="21" customFormat="1" x14ac:dyDescent="0.3"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</row>
    <row r="42" spans="12:36" s="21" customFormat="1" x14ac:dyDescent="0.3"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</row>
    <row r="43" spans="12:36" s="21" customFormat="1" x14ac:dyDescent="0.3"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</row>
    <row r="44" spans="12:36" s="21" customFormat="1" x14ac:dyDescent="0.3"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</row>
    <row r="45" spans="12:36" s="21" customFormat="1" x14ac:dyDescent="0.3"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</row>
    <row r="46" spans="12:36" s="21" customFormat="1" x14ac:dyDescent="0.3"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</row>
    <row r="47" spans="12:36" s="21" customFormat="1" x14ac:dyDescent="0.3"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</row>
    <row r="48" spans="12:36" s="21" customFormat="1" x14ac:dyDescent="0.3"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</row>
    <row r="49" spans="12:36" s="21" customFormat="1" x14ac:dyDescent="0.3"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</row>
    <row r="50" spans="12:36" s="21" customFormat="1" x14ac:dyDescent="0.3"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</row>
    <row r="51" spans="12:36" s="21" customFormat="1" x14ac:dyDescent="0.3"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</row>
    <row r="52" spans="12:36" s="21" customFormat="1" x14ac:dyDescent="0.3"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</row>
    <row r="53" spans="12:36" s="21" customFormat="1" x14ac:dyDescent="0.3"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</row>
    <row r="54" spans="12:36" s="21" customFormat="1" x14ac:dyDescent="0.3"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</row>
    <row r="55" spans="12:36" s="21" customFormat="1" x14ac:dyDescent="0.3"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</row>
    <row r="56" spans="12:36" s="21" customFormat="1" x14ac:dyDescent="0.3"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</row>
    <row r="57" spans="12:36" s="21" customFormat="1" x14ac:dyDescent="0.3"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</row>
    <row r="58" spans="12:36" s="21" customFormat="1" x14ac:dyDescent="0.3"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</row>
    <row r="59" spans="12:36" s="21" customFormat="1" x14ac:dyDescent="0.3"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</row>
    <row r="60" spans="12:36" s="21" customFormat="1" x14ac:dyDescent="0.3"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</row>
    <row r="61" spans="12:36" s="21" customFormat="1" x14ac:dyDescent="0.3"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</row>
    <row r="62" spans="12:36" s="21" customFormat="1" x14ac:dyDescent="0.3"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</row>
    <row r="63" spans="12:36" s="21" customFormat="1" x14ac:dyDescent="0.3"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</row>
    <row r="64" spans="12:36" s="21" customFormat="1" x14ac:dyDescent="0.3"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</row>
    <row r="65" spans="3:36" s="21" customFormat="1" x14ac:dyDescent="0.3"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</row>
    <row r="66" spans="3:36" s="21" customFormat="1" x14ac:dyDescent="0.3"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</row>
    <row r="67" spans="3:36" s="21" customFormat="1" x14ac:dyDescent="0.3"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</row>
    <row r="68" spans="3:36" s="21" customFormat="1" x14ac:dyDescent="0.3"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</row>
    <row r="69" spans="3:36" s="21" customFormat="1" x14ac:dyDescent="0.3"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</row>
    <row r="70" spans="3:36" s="21" customFormat="1" x14ac:dyDescent="0.3"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</row>
    <row r="71" spans="3:36" s="21" customFormat="1" x14ac:dyDescent="0.3"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</row>
    <row r="72" spans="3:36" s="21" customFormat="1" x14ac:dyDescent="0.3"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</row>
    <row r="73" spans="3:36" s="21" customFormat="1" x14ac:dyDescent="0.3"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</row>
    <row r="74" spans="3:36" s="21" customFormat="1" x14ac:dyDescent="0.3"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</row>
    <row r="75" spans="3:36" s="21" customFormat="1" x14ac:dyDescent="0.3"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</row>
    <row r="76" spans="3:36" s="21" customFormat="1" x14ac:dyDescent="0.3"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</row>
    <row r="77" spans="3:36" s="21" customFormat="1" x14ac:dyDescent="0.3"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</row>
    <row r="78" spans="3:36" x14ac:dyDescent="0.3">
      <c r="C78" s="21"/>
      <c r="D78" s="21"/>
      <c r="E78" s="21"/>
      <c r="F78" s="21"/>
      <c r="G78" s="21"/>
      <c r="H78" s="21"/>
      <c r="I78" s="21"/>
      <c r="J78" s="21"/>
      <c r="K78" s="21"/>
    </row>
    <row r="79" spans="3:36" x14ac:dyDescent="0.3">
      <c r="C79" s="21"/>
      <c r="D79" s="21"/>
      <c r="E79" s="21"/>
      <c r="F79" s="21"/>
      <c r="G79" s="21"/>
      <c r="H79" s="21"/>
      <c r="I79" s="21"/>
      <c r="J79" s="21"/>
      <c r="K79" s="21"/>
    </row>
    <row r="80" spans="3:36" x14ac:dyDescent="0.3">
      <c r="C80" s="21"/>
      <c r="D80" s="21"/>
      <c r="E80" s="21"/>
      <c r="F80" s="21"/>
      <c r="G80" s="21"/>
      <c r="H80" s="21"/>
      <c r="I80" s="21"/>
      <c r="J80" s="21"/>
      <c r="K80" s="21"/>
    </row>
    <row r="81" spans="3:11" x14ac:dyDescent="0.3">
      <c r="C81" s="21"/>
      <c r="D81" s="21"/>
      <c r="E81" s="21"/>
      <c r="F81" s="21"/>
      <c r="G81" s="21"/>
      <c r="H81" s="21"/>
      <c r="I81" s="21"/>
      <c r="J81" s="21"/>
      <c r="K81" s="21"/>
    </row>
    <row r="82" spans="3:11" x14ac:dyDescent="0.3">
      <c r="C82" s="21"/>
      <c r="D82" s="21"/>
      <c r="E82" s="21"/>
      <c r="F82" s="21"/>
      <c r="G82" s="21"/>
      <c r="H82" s="21"/>
      <c r="I82" s="21"/>
      <c r="J82" s="21"/>
      <c r="K82" s="21"/>
    </row>
    <row r="83" spans="3:11" x14ac:dyDescent="0.3">
      <c r="C83" s="21"/>
      <c r="D83" s="21"/>
      <c r="E83" s="21"/>
      <c r="F83" s="21"/>
      <c r="G83" s="21"/>
      <c r="H83" s="21"/>
      <c r="I83" s="21"/>
      <c r="J83" s="21"/>
      <c r="K83" s="21"/>
    </row>
    <row r="84" spans="3:11" x14ac:dyDescent="0.3">
      <c r="C84" s="21"/>
      <c r="D84" s="21"/>
      <c r="E84" s="21"/>
      <c r="F84" s="21"/>
      <c r="G84" s="21"/>
      <c r="H84" s="21"/>
      <c r="I84" s="21"/>
      <c r="J84" s="21"/>
      <c r="K84" s="21"/>
    </row>
    <row r="85" spans="3:11" x14ac:dyDescent="0.3">
      <c r="C85" s="21"/>
      <c r="D85" s="21"/>
      <c r="E85" s="21"/>
      <c r="F85" s="21"/>
      <c r="G85" s="21"/>
      <c r="H85" s="21"/>
      <c r="I85" s="21"/>
      <c r="J85" s="21"/>
      <c r="K85" s="21"/>
    </row>
    <row r="86" spans="3:11" x14ac:dyDescent="0.3">
      <c r="C86" s="21"/>
      <c r="D86" s="21"/>
      <c r="E86" s="21"/>
      <c r="F86" s="21"/>
      <c r="G86" s="21"/>
      <c r="H86" s="21"/>
      <c r="I86" s="21"/>
      <c r="J86" s="21"/>
      <c r="K86" s="21"/>
    </row>
    <row r="87" spans="3:11" x14ac:dyDescent="0.3">
      <c r="C87" s="21"/>
      <c r="D87" s="21"/>
      <c r="E87" s="21"/>
      <c r="F87" s="21"/>
      <c r="G87" s="21"/>
      <c r="H87" s="21"/>
      <c r="I87" s="21"/>
      <c r="J87" s="21"/>
      <c r="K87" s="21"/>
    </row>
    <row r="88" spans="3:11" x14ac:dyDescent="0.3">
      <c r="C88" s="21"/>
      <c r="D88" s="21"/>
      <c r="E88" s="21"/>
      <c r="F88" s="21"/>
      <c r="G88" s="21"/>
      <c r="H88" s="21"/>
      <c r="I88" s="21"/>
      <c r="J88" s="21"/>
      <c r="K88" s="21"/>
    </row>
    <row r="89" spans="3:11" x14ac:dyDescent="0.3">
      <c r="C89" s="21"/>
      <c r="D89" s="21"/>
      <c r="E89" s="21"/>
      <c r="F89" s="21"/>
      <c r="G89" s="21"/>
      <c r="H89" s="21"/>
      <c r="I89" s="21"/>
      <c r="J89" s="21"/>
      <c r="K89" s="21"/>
    </row>
    <row r="90" spans="3:11" x14ac:dyDescent="0.3">
      <c r="C90" s="21"/>
      <c r="D90" s="21"/>
      <c r="E90" s="21"/>
      <c r="F90" s="21"/>
      <c r="G90" s="21"/>
      <c r="H90" s="21"/>
      <c r="I90" s="21"/>
      <c r="J90" s="21"/>
      <c r="K90" s="21"/>
    </row>
    <row r="91" spans="3:11" x14ac:dyDescent="0.3">
      <c r="C91" s="21"/>
      <c r="D91" s="21"/>
      <c r="E91" s="21"/>
      <c r="F91" s="21"/>
      <c r="G91" s="21"/>
      <c r="H91" s="21"/>
      <c r="I91" s="21"/>
      <c r="J91" s="21"/>
      <c r="K91" s="21"/>
    </row>
    <row r="92" spans="3:11" x14ac:dyDescent="0.3">
      <c r="C92" s="21"/>
      <c r="D92" s="21"/>
      <c r="E92" s="21"/>
      <c r="F92" s="21"/>
      <c r="G92" s="21"/>
      <c r="H92" s="21"/>
      <c r="I92" s="21"/>
      <c r="J92" s="21"/>
      <c r="K92" s="21"/>
    </row>
    <row r="93" spans="3:11" x14ac:dyDescent="0.3">
      <c r="C93" s="21"/>
      <c r="D93" s="21"/>
      <c r="E93" s="21"/>
      <c r="F93" s="21"/>
      <c r="G93" s="21"/>
      <c r="H93" s="21"/>
      <c r="I93" s="21"/>
      <c r="J93" s="21"/>
      <c r="K93" s="21"/>
    </row>
    <row r="94" spans="3:11" x14ac:dyDescent="0.3">
      <c r="C94" s="21"/>
      <c r="D94" s="21"/>
      <c r="E94" s="21"/>
      <c r="F94" s="21"/>
      <c r="G94" s="21"/>
      <c r="H94" s="21"/>
      <c r="I94" s="21"/>
      <c r="J94" s="21"/>
      <c r="K94" s="21"/>
    </row>
    <row r="95" spans="3:11" x14ac:dyDescent="0.3">
      <c r="C95" s="21"/>
      <c r="D95" s="21"/>
      <c r="E95" s="21"/>
      <c r="F95" s="21"/>
      <c r="G95" s="21"/>
      <c r="H95" s="21"/>
      <c r="I95" s="21"/>
      <c r="J95" s="21"/>
      <c r="K95" s="21"/>
    </row>
    <row r="96" spans="3:11" x14ac:dyDescent="0.3">
      <c r="C96" s="21"/>
      <c r="D96" s="21"/>
      <c r="E96" s="21"/>
      <c r="F96" s="21"/>
      <c r="G96" s="21"/>
      <c r="H96" s="21"/>
      <c r="I96" s="21"/>
      <c r="J96" s="21"/>
      <c r="K96" s="21"/>
    </row>
    <row r="97" spans="3:11" x14ac:dyDescent="0.3">
      <c r="C97" s="21"/>
      <c r="D97" s="21"/>
      <c r="E97" s="21"/>
      <c r="F97" s="21"/>
      <c r="G97" s="21"/>
      <c r="H97" s="21"/>
      <c r="I97" s="21"/>
      <c r="J97" s="21"/>
      <c r="K97" s="21"/>
    </row>
    <row r="98" spans="3:11" x14ac:dyDescent="0.3">
      <c r="C98" s="21"/>
      <c r="D98" s="21"/>
      <c r="E98" s="21"/>
      <c r="F98" s="21"/>
      <c r="G98" s="21"/>
      <c r="H98" s="21"/>
      <c r="I98" s="21"/>
      <c r="J98" s="21"/>
      <c r="K98" s="21"/>
    </row>
    <row r="99" spans="3:11" x14ac:dyDescent="0.3">
      <c r="C99" s="21"/>
      <c r="D99" s="21"/>
      <c r="E99" s="21"/>
      <c r="F99" s="21"/>
      <c r="G99" s="21"/>
      <c r="H99" s="21"/>
      <c r="I99" s="21"/>
      <c r="J99" s="21"/>
      <c r="K99" s="21"/>
    </row>
    <row r="100" spans="3:11" x14ac:dyDescent="0.3">
      <c r="C100" s="21"/>
      <c r="D100" s="21"/>
      <c r="E100" s="21"/>
      <c r="F100" s="21"/>
      <c r="G100" s="21"/>
      <c r="H100" s="21"/>
      <c r="I100" s="21"/>
      <c r="J100" s="21"/>
      <c r="K100" s="21"/>
    </row>
    <row r="101" spans="3:11" x14ac:dyDescent="0.3">
      <c r="C101" s="21"/>
      <c r="D101" s="21"/>
      <c r="E101" s="21"/>
      <c r="F101" s="21"/>
      <c r="G101" s="21"/>
      <c r="H101" s="21"/>
      <c r="I101" s="21"/>
      <c r="J101" s="21"/>
      <c r="K101" s="21"/>
    </row>
    <row r="102" spans="3:11" x14ac:dyDescent="0.3">
      <c r="C102" s="21"/>
      <c r="D102" s="21"/>
      <c r="E102" s="21"/>
      <c r="F102" s="21"/>
      <c r="G102" s="21"/>
      <c r="H102" s="21"/>
      <c r="I102" s="21"/>
      <c r="J102" s="21"/>
      <c r="K102" s="21"/>
    </row>
    <row r="103" spans="3:11" x14ac:dyDescent="0.3">
      <c r="C103" s="21"/>
      <c r="D103" s="21"/>
      <c r="E103" s="21"/>
      <c r="F103" s="21"/>
      <c r="G103" s="21"/>
      <c r="H103" s="21"/>
      <c r="I103" s="21"/>
      <c r="J103" s="21"/>
      <c r="K103" s="21"/>
    </row>
    <row r="104" spans="3:11" x14ac:dyDescent="0.3">
      <c r="C104" s="21"/>
      <c r="D104" s="21"/>
      <c r="E104" s="21"/>
      <c r="F104" s="21"/>
      <c r="G104" s="21"/>
      <c r="H104" s="21"/>
      <c r="I104" s="21"/>
      <c r="J104" s="21"/>
      <c r="K104" s="21"/>
    </row>
    <row r="105" spans="3:11" x14ac:dyDescent="0.3">
      <c r="C105" s="21"/>
      <c r="D105" s="21"/>
      <c r="E105" s="21"/>
      <c r="F105" s="21"/>
      <c r="G105" s="21"/>
      <c r="H105" s="21"/>
      <c r="I105" s="21"/>
      <c r="J105" s="21"/>
      <c r="K105" s="21"/>
    </row>
    <row r="106" spans="3:11" x14ac:dyDescent="0.3">
      <c r="C106" s="21"/>
      <c r="D106" s="21"/>
      <c r="E106" s="21"/>
      <c r="F106" s="21"/>
      <c r="G106" s="21"/>
      <c r="H106" s="21"/>
      <c r="I106" s="21"/>
      <c r="J106" s="21"/>
      <c r="K106" s="21"/>
    </row>
    <row r="107" spans="3:11" x14ac:dyDescent="0.3">
      <c r="C107" s="21"/>
      <c r="D107" s="21"/>
      <c r="E107" s="21"/>
      <c r="F107" s="21"/>
      <c r="G107" s="21"/>
      <c r="H107" s="21"/>
      <c r="I107" s="21"/>
      <c r="J107" s="21"/>
      <c r="K107" s="21"/>
    </row>
    <row r="108" spans="3:11" x14ac:dyDescent="0.3">
      <c r="C108" s="21"/>
      <c r="D108" s="21"/>
      <c r="E108" s="21"/>
      <c r="F108" s="21"/>
      <c r="G108" s="21"/>
      <c r="H108" s="21"/>
      <c r="I108" s="21"/>
      <c r="J108" s="21"/>
      <c r="K108" s="21"/>
    </row>
    <row r="109" spans="3:11" x14ac:dyDescent="0.3">
      <c r="C109" s="21"/>
      <c r="D109" s="21"/>
      <c r="E109" s="21"/>
      <c r="F109" s="21"/>
      <c r="G109" s="21"/>
      <c r="H109" s="21"/>
      <c r="I109" s="21"/>
      <c r="J109" s="21"/>
      <c r="K109" s="21"/>
    </row>
    <row r="110" spans="3:11" x14ac:dyDescent="0.3">
      <c r="C110" s="21"/>
      <c r="D110" s="21"/>
      <c r="E110" s="21"/>
      <c r="F110" s="21"/>
      <c r="G110" s="21"/>
      <c r="H110" s="21"/>
      <c r="I110" s="21"/>
      <c r="J110" s="21"/>
      <c r="K110" s="21"/>
    </row>
    <row r="111" spans="3:11" x14ac:dyDescent="0.3">
      <c r="C111" s="21"/>
      <c r="D111" s="21"/>
      <c r="E111" s="21"/>
      <c r="F111" s="21"/>
      <c r="G111" s="21"/>
      <c r="H111" s="21"/>
      <c r="I111" s="21"/>
      <c r="J111" s="21"/>
      <c r="K111" s="21"/>
    </row>
    <row r="112" spans="3:11" x14ac:dyDescent="0.3">
      <c r="C112" s="21"/>
      <c r="D112" s="21"/>
      <c r="E112" s="21"/>
      <c r="F112" s="21"/>
      <c r="G112" s="21"/>
      <c r="H112" s="21"/>
      <c r="I112" s="21"/>
      <c r="J112" s="21"/>
      <c r="K112" s="21"/>
    </row>
    <row r="113" spans="3:11" x14ac:dyDescent="0.3">
      <c r="C113" s="21"/>
      <c r="D113" s="21"/>
      <c r="E113" s="21"/>
      <c r="F113" s="21"/>
      <c r="G113" s="21"/>
      <c r="H113" s="21"/>
      <c r="I113" s="21"/>
      <c r="J113" s="21"/>
      <c r="K113" s="21"/>
    </row>
    <row r="114" spans="3:11" x14ac:dyDescent="0.3">
      <c r="C114" s="21"/>
      <c r="D114" s="21"/>
      <c r="E114" s="21"/>
      <c r="F114" s="21"/>
      <c r="G114" s="21"/>
      <c r="H114" s="21"/>
      <c r="I114" s="21"/>
      <c r="J114" s="21"/>
      <c r="K114" s="21"/>
    </row>
    <row r="115" spans="3:11" x14ac:dyDescent="0.3">
      <c r="C115" s="21"/>
      <c r="D115" s="21"/>
      <c r="E115" s="21"/>
      <c r="F115" s="21"/>
      <c r="G115" s="21"/>
      <c r="H115" s="21"/>
      <c r="I115" s="21"/>
      <c r="J115" s="21"/>
      <c r="K115" s="21"/>
    </row>
  </sheetData>
  <conditionalFormatting sqref="B20">
    <cfRule type="expression" dxfId="0" priority="1" stopIfTrue="1">
      <formula>RiskIsOutput</formula>
    </cfRule>
  </conditionalFormatting>
  <pageMargins left="0.75" right="0.75" top="1" bottom="1" header="0.5" footer="0.5"/>
  <pageSetup scale="87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B1:K6"/>
  <sheetViews>
    <sheetView showGridLines="0" workbookViewId="0">
      <selection activeCell="B3" sqref="B3"/>
    </sheetView>
  </sheetViews>
  <sheetFormatPr defaultColWidth="9.109375" defaultRowHeight="14.4" x14ac:dyDescent="0.3"/>
  <cols>
    <col min="1" max="1" width="0.33203125" style="33" customWidth="1"/>
    <col min="2" max="2" width="31.109375" style="33" customWidth="1"/>
    <col min="3" max="3" width="12" style="33" customWidth="1"/>
    <col min="4" max="4" width="6" style="33" customWidth="1"/>
    <col min="5" max="5" width="15" style="33" customWidth="1"/>
    <col min="6" max="10" width="14.44140625" style="33" customWidth="1"/>
    <col min="11" max="11" width="8.44140625" style="33" customWidth="1"/>
    <col min="12" max="16384" width="9.109375" style="33"/>
  </cols>
  <sheetData>
    <row r="1" spans="2:11" s="46" customFormat="1" ht="17.399999999999999" x14ac:dyDescent="0.3">
      <c r="B1" s="47" t="s">
        <v>68</v>
      </c>
    </row>
    <row r="2" spans="2:11" s="44" customFormat="1" ht="10.199999999999999" x14ac:dyDescent="0.2">
      <c r="B2" s="45" t="s">
        <v>78</v>
      </c>
    </row>
    <row r="3" spans="2:11" s="44" customFormat="1" ht="10.199999999999999" x14ac:dyDescent="0.2">
      <c r="B3" s="45" t="s">
        <v>67</v>
      </c>
    </row>
    <row r="5" spans="2:11" ht="15" customHeight="1" x14ac:dyDescent="0.3">
      <c r="B5" s="43" t="s">
        <v>66</v>
      </c>
      <c r="C5" s="41" t="s">
        <v>65</v>
      </c>
      <c r="D5" s="41" t="s">
        <v>64</v>
      </c>
      <c r="E5" s="42" t="s">
        <v>63</v>
      </c>
      <c r="F5" s="41" t="s">
        <v>53</v>
      </c>
      <c r="G5" s="41" t="s">
        <v>58</v>
      </c>
      <c r="H5" s="41" t="s">
        <v>55</v>
      </c>
      <c r="I5" s="40">
        <v>0.05</v>
      </c>
      <c r="J5" s="40">
        <v>0.95</v>
      </c>
      <c r="K5" s="39" t="s">
        <v>62</v>
      </c>
    </row>
    <row r="6" spans="2:11" ht="39.75" customHeight="1" x14ac:dyDescent="0.3">
      <c r="B6" s="38" t="s">
        <v>41</v>
      </c>
      <c r="C6" s="37" t="s">
        <v>61</v>
      </c>
      <c r="D6" s="37" t="s">
        <v>60</v>
      </c>
      <c r="E6" s="36"/>
      <c r="F6" s="35">
        <v>162627.29999999999</v>
      </c>
      <c r="G6" s="35">
        <v>302279</v>
      </c>
      <c r="H6" s="35">
        <v>467876.3</v>
      </c>
      <c r="I6" s="35">
        <v>225161</v>
      </c>
      <c r="J6" s="35">
        <v>386336.7</v>
      </c>
      <c r="K6" s="34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RiskSerializationData</vt:lpstr>
      <vt:lpstr>rsklibSimData</vt:lpstr>
      <vt:lpstr>Model</vt:lpstr>
      <vt:lpstr>Model (10 Years)</vt:lpstr>
      <vt:lpstr>Output Results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Winch</dc:creator>
  <cp:lastModifiedBy>Desai, Mr. Sahil</cp:lastModifiedBy>
  <dcterms:created xsi:type="dcterms:W3CDTF">2017-11-21T19:53:21Z</dcterms:created>
  <dcterms:modified xsi:type="dcterms:W3CDTF">2020-04-06T21:20:19Z</dcterms:modified>
</cp:coreProperties>
</file>