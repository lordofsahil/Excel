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pace.edu\shares\users\sd54347n\Documents\"/>
    </mc:Choice>
  </mc:AlternateContent>
  <bookViews>
    <workbookView xWindow="0" yWindow="0" windowWidth="17256" windowHeight="7032" activeTab="1"/>
  </bookViews>
  <sheets>
    <sheet name="Data" sheetId="1" r:id="rId1"/>
    <sheet name="test stimulate years macro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8</definedName>
    <definedName name="_AtRisk_SimSetting_MultipleCPUMode" hidden="1">1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0</definedName>
    <definedName name="_AtRisk_SimSetting_ReportOptionCustomItemSummaryGraphType02" hidden="1">0</definedName>
    <definedName name="_AtRisk_SimSetting_ReportOptionCustomItemSummaryGraphType03" hidden="1">0</definedName>
    <definedName name="_AtRisk_SimSetting_ReportOptionCustomItemSummaryGraphType04" hidden="1">0</definedName>
    <definedName name="_AtRisk_SimSetting_ReportOptionCustomItemSummaryGraphType05" hidden="1">0</definedName>
    <definedName name="_AtRisk_SimSetting_ReportOptionCustomItemSummaryGraphType06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4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4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Pal_Workbook_GUID" hidden="1">"4IFR6SIEL94FKMEHKBA2I6Y8"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"$B$10"</definedName>
    <definedName name="RiskSelectedNameCell1" hidden="1">"$A$10"</definedName>
    <definedName name="RiskSelectedNameCell2" hidden="1">"$E$12"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4" l="1"/>
  <c r="C18" i="14"/>
  <c r="D18" i="14" s="1"/>
  <c r="B18" i="14"/>
  <c r="E18" i="14" s="1"/>
  <c r="F17" i="14"/>
  <c r="C17" i="14"/>
  <c r="D17" i="14" s="1"/>
  <c r="B17" i="14"/>
  <c r="E17" i="14" s="1"/>
  <c r="F16" i="14"/>
  <c r="C16" i="14"/>
  <c r="D16" i="14" s="1"/>
  <c r="B16" i="14"/>
  <c r="E16" i="14" s="1"/>
  <c r="F15" i="14"/>
  <c r="C15" i="14"/>
  <c r="D15" i="14" s="1"/>
  <c r="B15" i="14"/>
  <c r="E15" i="14" s="1"/>
  <c r="F13" i="14"/>
  <c r="F14" i="14" s="1"/>
  <c r="C13" i="14"/>
  <c r="C14" i="14" s="1"/>
  <c r="B13" i="14"/>
  <c r="D13" i="14" l="1"/>
  <c r="E13" i="14" s="1"/>
  <c r="B14" i="14" s="1"/>
  <c r="D14" i="14"/>
  <c r="F13" i="1"/>
  <c r="F14" i="1"/>
  <c r="F15" i="1" s="1"/>
  <c r="F16" i="1" s="1"/>
  <c r="F17" i="1" s="1"/>
  <c r="F18" i="1" s="1"/>
  <c r="F19" i="1"/>
  <c r="F20" i="1" s="1"/>
  <c r="F21" i="1" s="1"/>
  <c r="F22" i="1" s="1"/>
  <c r="C13" i="1"/>
  <c r="D13" i="1" s="1"/>
  <c r="B13" i="1"/>
  <c r="E14" i="14" l="1"/>
  <c r="E13" i="1"/>
  <c r="B14" i="1" s="1"/>
  <c r="E14" i="1" s="1"/>
  <c r="B15" i="1" s="1"/>
  <c r="C14" i="1"/>
  <c r="D14" i="1"/>
  <c r="C15" i="1"/>
  <c r="C16" i="1" l="1"/>
  <c r="D15" i="1"/>
  <c r="E15" i="1" s="1"/>
  <c r="B16" i="1" s="1"/>
  <c r="E16" i="1" l="1"/>
  <c r="B17" i="1" s="1"/>
  <c r="D16" i="1"/>
  <c r="C17" i="1"/>
  <c r="D17" i="1" l="1"/>
  <c r="E17" i="1" s="1"/>
  <c r="B18" i="1" s="1"/>
  <c r="C18" i="1"/>
  <c r="C19" i="1" l="1"/>
  <c r="D18" i="1"/>
  <c r="E18" i="1" s="1"/>
  <c r="B19" i="1" s="1"/>
  <c r="D19" i="1" l="1"/>
  <c r="E19" i="1" s="1"/>
  <c r="B20" i="1" s="1"/>
  <c r="C20" i="1"/>
  <c r="D20" i="1" l="1"/>
  <c r="E20" i="1" s="1"/>
  <c r="B21" i="1" s="1"/>
  <c r="C21" i="1"/>
  <c r="C22" i="1" l="1"/>
  <c r="D22" i="1" s="1"/>
  <c r="D21" i="1"/>
  <c r="E21" i="1" s="1"/>
  <c r="B22" i="1" s="1"/>
  <c r="E22" i="1" s="1"/>
</calcChain>
</file>

<file path=xl/sharedStrings.xml><?xml version="1.0" encoding="utf-8"?>
<sst xmlns="http://schemas.openxmlformats.org/spreadsheetml/2006/main" count="30" uniqueCount="14">
  <si>
    <t>J Drew</t>
  </si>
  <si>
    <t>Data</t>
  </si>
  <si>
    <t>Age</t>
  </si>
  <si>
    <t>Current Salary</t>
  </si>
  <si>
    <t xml:space="preserve">Current Portfolio </t>
  </si>
  <si>
    <t>Annual Investment Rate</t>
  </si>
  <si>
    <t>Salary Growth Rate</t>
  </si>
  <si>
    <t>Portfolio Growth Rate</t>
  </si>
  <si>
    <t>Model</t>
  </si>
  <si>
    <t>Year</t>
  </si>
  <si>
    <t>Beginning Balance</t>
  </si>
  <si>
    <t>Salary</t>
  </si>
  <si>
    <t>New Investment</t>
  </si>
  <si>
    <t>Ending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</si>
</sst>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0" fontId="4" fillId="0" borderId="0" xfId="0" applyFont="1"/>
    <xf numFmtId="164" fontId="0" fillId="0" borderId="0" xfId="2" applyNumberFormat="1" applyFont="1"/>
    <xf numFmtId="165" fontId="0" fillId="0" borderId="0" xfId="3" applyNumberFormat="1" applyFont="1"/>
    <xf numFmtId="0" fontId="2" fillId="0" borderId="0" xfId="0" applyFont="1" applyAlignment="1">
      <alignment horizontal="center"/>
    </xf>
    <xf numFmtId="164" fontId="5" fillId="0" borderId="0" xfId="0" applyNumberFormat="1" applyFont="1" applyAlignment="1"/>
    <xf numFmtId="164" fontId="5" fillId="0" borderId="0" xfId="1" applyNumberFormat="1" applyFont="1" applyAlignment="1"/>
    <xf numFmtId="1" fontId="5" fillId="0" borderId="0" xfId="0" applyNumberFormat="1" applyFont="1" applyAlignme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5</xdr:row>
      <xdr:rowOff>91440</xdr:rowOff>
    </xdr:from>
    <xdr:to>
      <xdr:col>13</xdr:col>
      <xdr:colOff>91440</xdr:colOff>
      <xdr:row>9</xdr:row>
      <xdr:rowOff>53340</xdr:rowOff>
    </xdr:to>
    <xdr:sp macro="" textlink="">
      <xdr:nvSpPr>
        <xdr:cNvPr id="2" name="TextBox 1"/>
        <xdr:cNvSpPr txBox="1"/>
      </xdr:nvSpPr>
      <xdr:spPr>
        <a:xfrm>
          <a:off x="8115300" y="1135380"/>
          <a:ext cx="2514600" cy="693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Run the </a:t>
          </a:r>
          <a:r>
            <a:rPr lang="en-US" sz="1100" b="1"/>
            <a:t>Stimulate Years macro</a:t>
          </a:r>
          <a:r>
            <a:rPr lang="en-US" sz="1100"/>
            <a:t> to get a portfolio simulation</a:t>
          </a:r>
        </a:p>
        <a:p>
          <a:r>
            <a:rPr lang="en-US" sz="1100"/>
            <a:t>Keyboard shortcut: Ctrl + Shift</a:t>
          </a:r>
          <a:r>
            <a:rPr lang="en-US" sz="1100" baseline="0"/>
            <a:t> + A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7"/>
  <sheetViews>
    <sheetView workbookViewId="0">
      <selection activeCell="B7" sqref="B7"/>
    </sheetView>
  </sheetViews>
  <sheetFormatPr defaultRowHeight="14.4" x14ac:dyDescent="0.3"/>
  <cols>
    <col min="1" max="1" width="26" customWidth="1"/>
    <col min="2" max="2" width="17.44140625" bestFit="1" customWidth="1"/>
    <col min="3" max="3" width="9.88671875" customWidth="1"/>
    <col min="4" max="4" width="16.88671875" customWidth="1"/>
    <col min="5" max="5" width="19.44140625" customWidth="1"/>
    <col min="6" max="6" width="14.44140625" bestFit="1" customWidth="1"/>
    <col min="7" max="7" width="16.44140625" customWidth="1"/>
    <col min="8" max="8" width="9.88671875" customWidth="1"/>
  </cols>
  <sheetData>
    <row r="1" spans="1:6" ht="21" x14ac:dyDescent="0.4">
      <c r="A1" s="1" t="s">
        <v>0</v>
      </c>
    </row>
    <row r="3" spans="1:6" ht="18" x14ac:dyDescent="0.35">
      <c r="A3" s="2" t="s">
        <v>1</v>
      </c>
    </row>
    <row r="4" spans="1:6" x14ac:dyDescent="0.3">
      <c r="A4" t="s">
        <v>2</v>
      </c>
      <c r="B4">
        <v>27</v>
      </c>
    </row>
    <row r="5" spans="1:6" x14ac:dyDescent="0.3">
      <c r="A5" t="s">
        <v>3</v>
      </c>
      <c r="B5" s="3">
        <v>150000</v>
      </c>
    </row>
    <row r="6" spans="1:6" x14ac:dyDescent="0.3">
      <c r="A6" t="s">
        <v>4</v>
      </c>
      <c r="B6" s="3">
        <v>500000</v>
      </c>
    </row>
    <row r="7" spans="1:6" x14ac:dyDescent="0.3">
      <c r="A7" t="s">
        <v>5</v>
      </c>
      <c r="B7" s="4">
        <v>0.1</v>
      </c>
    </row>
    <row r="8" spans="1:6" x14ac:dyDescent="0.3">
      <c r="A8" t="s">
        <v>6</v>
      </c>
      <c r="B8" s="4">
        <v>0.03</v>
      </c>
    </row>
    <row r="9" spans="1:6" x14ac:dyDescent="0.3">
      <c r="A9" t="s">
        <v>7</v>
      </c>
      <c r="B9" s="4">
        <v>0.08</v>
      </c>
    </row>
    <row r="11" spans="1:6" ht="18" x14ac:dyDescent="0.35">
      <c r="A11" s="2" t="s">
        <v>8</v>
      </c>
    </row>
    <row r="12" spans="1:6" x14ac:dyDescent="0.3">
      <c r="A12" s="5" t="s">
        <v>9</v>
      </c>
      <c r="B12" s="5" t="s">
        <v>10</v>
      </c>
      <c r="C12" s="5" t="s">
        <v>11</v>
      </c>
      <c r="D12" s="5" t="s">
        <v>12</v>
      </c>
      <c r="E12" s="5" t="s">
        <v>13</v>
      </c>
      <c r="F12" s="5" t="s">
        <v>2</v>
      </c>
    </row>
    <row r="13" spans="1:6" x14ac:dyDescent="0.3">
      <c r="A13">
        <v>1</v>
      </c>
      <c r="B13" s="6">
        <f>B6</f>
        <v>500000</v>
      </c>
      <c r="C13" s="7">
        <f>B5</f>
        <v>150000</v>
      </c>
      <c r="D13" s="7">
        <f>$B$7*C13</f>
        <v>15000</v>
      </c>
      <c r="E13" s="7">
        <f>(1+$B$9)*(B13+D13)</f>
        <v>556200</v>
      </c>
      <c r="F13" s="8">
        <f>B4+1</f>
        <v>28</v>
      </c>
    </row>
    <row r="14" spans="1:6" x14ac:dyDescent="0.3">
      <c r="A14">
        <v>2</v>
      </c>
      <c r="B14" s="6">
        <f>E13</f>
        <v>556200</v>
      </c>
      <c r="C14" s="7">
        <f>C13*(1+$B$8)</f>
        <v>154500</v>
      </c>
      <c r="D14" s="7">
        <f>$B$7*C14</f>
        <v>15450</v>
      </c>
      <c r="E14" s="7">
        <f>(1+$B$9)*(B14+D14)</f>
        <v>617382</v>
      </c>
      <c r="F14" s="8">
        <f>F13+1</f>
        <v>29</v>
      </c>
    </row>
    <row r="15" spans="1:6" x14ac:dyDescent="0.3">
      <c r="A15">
        <v>3</v>
      </c>
      <c r="B15" s="6">
        <f>E14</f>
        <v>617382</v>
      </c>
      <c r="C15" s="7">
        <f>C14*(1+$B$8)</f>
        <v>159135</v>
      </c>
      <c r="D15" s="7">
        <f>$B$7*C15</f>
        <v>15913.5</v>
      </c>
      <c r="E15" s="7">
        <f>(1+$B$9)*(B15+D15)</f>
        <v>683959.14</v>
      </c>
      <c r="F15" s="8">
        <f>F14+1</f>
        <v>30</v>
      </c>
    </row>
    <row r="16" spans="1:6" x14ac:dyDescent="0.3">
      <c r="A16">
        <v>4</v>
      </c>
      <c r="B16" s="6">
        <f>E15</f>
        <v>683959.14</v>
      </c>
      <c r="C16" s="7">
        <f>C15*(1+$B$8)</f>
        <v>163909.05000000002</v>
      </c>
      <c r="D16" s="7">
        <f>$B$7*C16</f>
        <v>16390.905000000002</v>
      </c>
      <c r="E16" s="7">
        <f>(1+$B$9)*(B16+D16)</f>
        <v>756378.0486000001</v>
      </c>
      <c r="F16" s="8">
        <f>F15+1</f>
        <v>31</v>
      </c>
    </row>
    <row r="17" spans="1:6" x14ac:dyDescent="0.3">
      <c r="A17">
        <v>5</v>
      </c>
      <c r="B17" s="6">
        <f>E16</f>
        <v>756378.0486000001</v>
      </c>
      <c r="C17" s="7">
        <f>C16*(1+$B$8)</f>
        <v>168826.32150000002</v>
      </c>
      <c r="D17" s="7">
        <f>$B$7*C17</f>
        <v>16882.632150000001</v>
      </c>
      <c r="E17" s="7">
        <f>(1+$B$9)*(B17+D17)</f>
        <v>835121.53521000012</v>
      </c>
      <c r="F17" s="8">
        <f>F16+1</f>
        <v>32</v>
      </c>
    </row>
    <row r="18" spans="1:6" x14ac:dyDescent="0.3">
      <c r="A18">
        <v>6</v>
      </c>
      <c r="B18" s="6">
        <f t="shared" ref="B18:B22" si="0">E17</f>
        <v>835121.53521000012</v>
      </c>
      <c r="C18" s="7">
        <f t="shared" ref="C18:C22" si="1">C17*(1+$B$8)</f>
        <v>173891.11114500003</v>
      </c>
      <c r="D18" s="7">
        <f t="shared" ref="D18:D22" si="2">$B$7*C18</f>
        <v>17389.111114500003</v>
      </c>
      <c r="E18" s="7">
        <f t="shared" ref="E18:E22" si="3">(1+$B$9)*(B18+D18)</f>
        <v>920711.49803046021</v>
      </c>
      <c r="F18" s="8">
        <f t="shared" ref="F18:F22" si="4">F17+1</f>
        <v>33</v>
      </c>
    </row>
    <row r="19" spans="1:6" x14ac:dyDescent="0.3">
      <c r="A19">
        <v>7</v>
      </c>
      <c r="B19" s="6">
        <f t="shared" si="0"/>
        <v>920711.49803046021</v>
      </c>
      <c r="C19" s="7">
        <f t="shared" si="1"/>
        <v>179107.84447935002</v>
      </c>
      <c r="D19" s="7">
        <f t="shared" si="2"/>
        <v>17910.784447935002</v>
      </c>
      <c r="E19" s="7">
        <f t="shared" si="3"/>
        <v>1013712.0650766669</v>
      </c>
      <c r="F19" s="8">
        <f t="shared" si="4"/>
        <v>34</v>
      </c>
    </row>
    <row r="20" spans="1:6" x14ac:dyDescent="0.3">
      <c r="A20">
        <v>8</v>
      </c>
      <c r="B20" s="6">
        <f t="shared" si="0"/>
        <v>1013712.0650766669</v>
      </c>
      <c r="C20" s="7">
        <f t="shared" si="1"/>
        <v>184481.07981373052</v>
      </c>
      <c r="D20" s="7">
        <f t="shared" si="2"/>
        <v>18448.107981373054</v>
      </c>
      <c r="E20" s="7">
        <f t="shared" si="3"/>
        <v>1114732.9869026833</v>
      </c>
      <c r="F20" s="8">
        <f t="shared" si="4"/>
        <v>35</v>
      </c>
    </row>
    <row r="21" spans="1:6" x14ac:dyDescent="0.3">
      <c r="A21">
        <v>9</v>
      </c>
      <c r="B21" s="6">
        <f t="shared" si="0"/>
        <v>1114732.9869026833</v>
      </c>
      <c r="C21" s="7">
        <f t="shared" si="1"/>
        <v>190015.51220814243</v>
      </c>
      <c r="D21" s="7">
        <f t="shared" si="2"/>
        <v>19001.551220814243</v>
      </c>
      <c r="E21" s="7">
        <f t="shared" si="3"/>
        <v>1224433.3011733773</v>
      </c>
      <c r="F21" s="8">
        <f t="shared" si="4"/>
        <v>36</v>
      </c>
    </row>
    <row r="22" spans="1:6" x14ac:dyDescent="0.3">
      <c r="A22">
        <v>10</v>
      </c>
      <c r="B22" s="6">
        <f t="shared" si="0"/>
        <v>1224433.3011733773</v>
      </c>
      <c r="C22" s="7">
        <f t="shared" si="1"/>
        <v>195715.97757438672</v>
      </c>
      <c r="D22" s="7">
        <f t="shared" si="2"/>
        <v>19571.597757438674</v>
      </c>
      <c r="E22" s="7">
        <f t="shared" si="3"/>
        <v>1343525.2908452814</v>
      </c>
      <c r="F22" s="8">
        <f t="shared" si="4"/>
        <v>37</v>
      </c>
    </row>
    <row r="23" spans="1:6" x14ac:dyDescent="0.3">
      <c r="B23" s="6"/>
      <c r="C23" s="7"/>
      <c r="D23" s="7"/>
      <c r="E23" s="7"/>
      <c r="F23" s="8"/>
    </row>
    <row r="24" spans="1:6" x14ac:dyDescent="0.3">
      <c r="B24" s="6"/>
      <c r="C24" s="7"/>
      <c r="D24" s="7"/>
      <c r="E24" s="7"/>
      <c r="F24" s="8"/>
    </row>
    <row r="25" spans="1:6" x14ac:dyDescent="0.3">
      <c r="B25" s="6"/>
      <c r="C25" s="7"/>
      <c r="D25" s="7"/>
      <c r="E25" s="7"/>
      <c r="F25" s="8"/>
    </row>
    <row r="26" spans="1:6" x14ac:dyDescent="0.3">
      <c r="B26" s="6"/>
      <c r="C26" s="7"/>
      <c r="D26" s="7"/>
      <c r="E26" s="7"/>
      <c r="F26" s="8"/>
    </row>
    <row r="27" spans="1:6" x14ac:dyDescent="0.3">
      <c r="B27" s="6"/>
      <c r="C27" s="7"/>
      <c r="D27" s="7"/>
      <c r="E27" s="7"/>
      <c r="F27" s="8"/>
    </row>
    <row r="28" spans="1:6" x14ac:dyDescent="0.3">
      <c r="B28" s="6"/>
      <c r="C28" s="7"/>
      <c r="D28" s="7"/>
      <c r="E28" s="7"/>
      <c r="F28" s="8"/>
    </row>
    <row r="29" spans="1:6" x14ac:dyDescent="0.3">
      <c r="B29" s="6"/>
      <c r="C29" s="7"/>
      <c r="D29" s="7"/>
      <c r="E29" s="7"/>
      <c r="F29" s="8"/>
    </row>
    <row r="30" spans="1:6" x14ac:dyDescent="0.3">
      <c r="B30" s="6"/>
      <c r="C30" s="7"/>
      <c r="D30" s="7"/>
      <c r="E30" s="7"/>
      <c r="F30" s="8"/>
    </row>
    <row r="31" spans="1:6" x14ac:dyDescent="0.3">
      <c r="B31" s="6"/>
      <c r="C31" s="7"/>
      <c r="D31" s="7"/>
      <c r="E31" s="7"/>
      <c r="F31" s="8"/>
    </row>
    <row r="32" spans="1:6" x14ac:dyDescent="0.3">
      <c r="B32" s="6"/>
      <c r="C32" s="7"/>
      <c r="D32" s="7"/>
      <c r="E32" s="7"/>
      <c r="F32" s="8"/>
    </row>
    <row r="33" spans="2:6" x14ac:dyDescent="0.3">
      <c r="B33" s="6"/>
      <c r="C33" s="7"/>
      <c r="D33" s="7"/>
      <c r="E33" s="7"/>
      <c r="F33" s="8"/>
    </row>
    <row r="34" spans="2:6" x14ac:dyDescent="0.3">
      <c r="B34" s="6"/>
      <c r="C34" s="7"/>
      <c r="D34" s="7"/>
      <c r="E34" s="7"/>
      <c r="F34" s="8"/>
    </row>
    <row r="35" spans="2:6" x14ac:dyDescent="0.3">
      <c r="B35" s="6"/>
      <c r="C35" s="7"/>
      <c r="D35" s="7"/>
      <c r="E35" s="7"/>
      <c r="F35" s="8"/>
    </row>
    <row r="36" spans="2:6" x14ac:dyDescent="0.3">
      <c r="B36" s="6"/>
      <c r="C36" s="7"/>
      <c r="D36" s="7"/>
      <c r="E36" s="7"/>
      <c r="F36" s="8"/>
    </row>
    <row r="37" spans="2:6" x14ac:dyDescent="0.3">
      <c r="B37" s="6"/>
      <c r="C37" s="7"/>
      <c r="D37" s="7"/>
      <c r="E37" s="7"/>
      <c r="F37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7"/>
  <sheetViews>
    <sheetView tabSelected="1" workbookViewId="0">
      <selection activeCell="J11" sqref="J11"/>
    </sheetView>
  </sheetViews>
  <sheetFormatPr defaultRowHeight="14.4" x14ac:dyDescent="0.3"/>
  <cols>
    <col min="1" max="1" width="26" customWidth="1"/>
    <col min="2" max="2" width="16.44140625" bestFit="1" customWidth="1"/>
    <col min="3" max="3" width="7.44140625" bestFit="1" customWidth="1"/>
    <col min="4" max="4" width="14.88671875" bestFit="1" customWidth="1"/>
    <col min="5" max="5" width="13.88671875" bestFit="1" customWidth="1"/>
    <col min="6" max="6" width="4.21875" bestFit="1" customWidth="1"/>
    <col min="7" max="7" width="16.44140625" customWidth="1"/>
    <col min="8" max="8" width="9.88671875" customWidth="1"/>
  </cols>
  <sheetData>
    <row r="1" spans="1:6" ht="21" x14ac:dyDescent="0.4">
      <c r="A1" s="1" t="s">
        <v>0</v>
      </c>
    </row>
    <row r="3" spans="1:6" ht="18" x14ac:dyDescent="0.35">
      <c r="A3" s="2" t="s">
        <v>1</v>
      </c>
    </row>
    <row r="4" spans="1:6" x14ac:dyDescent="0.3">
      <c r="A4" t="s">
        <v>2</v>
      </c>
      <c r="B4">
        <v>22</v>
      </c>
    </row>
    <row r="5" spans="1:6" x14ac:dyDescent="0.3">
      <c r="A5" t="s">
        <v>3</v>
      </c>
      <c r="B5" s="3">
        <v>70000</v>
      </c>
    </row>
    <row r="6" spans="1:6" x14ac:dyDescent="0.3">
      <c r="A6" t="s">
        <v>4</v>
      </c>
      <c r="B6" s="3">
        <v>400000</v>
      </c>
    </row>
    <row r="7" spans="1:6" x14ac:dyDescent="0.3">
      <c r="A7" t="s">
        <v>5</v>
      </c>
      <c r="B7" s="4">
        <v>0.1</v>
      </c>
    </row>
    <row r="8" spans="1:6" x14ac:dyDescent="0.3">
      <c r="A8" t="s">
        <v>6</v>
      </c>
      <c r="B8" s="4">
        <v>0.03</v>
      </c>
    </row>
    <row r="9" spans="1:6" x14ac:dyDescent="0.3">
      <c r="A9" t="s">
        <v>7</v>
      </c>
      <c r="B9" s="4">
        <v>0.08</v>
      </c>
    </row>
    <row r="11" spans="1:6" ht="18" x14ac:dyDescent="0.35">
      <c r="A11" s="2" t="s">
        <v>8</v>
      </c>
    </row>
    <row r="12" spans="1:6" x14ac:dyDescent="0.3">
      <c r="A12" s="5" t="s">
        <v>9</v>
      </c>
      <c r="B12" s="5" t="s">
        <v>10</v>
      </c>
      <c r="C12" s="5" t="s">
        <v>11</v>
      </c>
      <c r="D12" s="5" t="s">
        <v>12</v>
      </c>
      <c r="E12" s="5" t="s">
        <v>13</v>
      </c>
      <c r="F12" s="5" t="s">
        <v>2</v>
      </c>
    </row>
    <row r="13" spans="1:6" x14ac:dyDescent="0.3">
      <c r="A13">
        <v>1</v>
      </c>
      <c r="B13" s="6">
        <f>B6</f>
        <v>400000</v>
      </c>
      <c r="C13" s="7">
        <f>B5</f>
        <v>70000</v>
      </c>
      <c r="D13" s="7">
        <f>$B$7*C13</f>
        <v>7000</v>
      </c>
      <c r="E13" s="7">
        <f>(1+$B$9)*(B13+D13)</f>
        <v>439560</v>
      </c>
      <c r="F13" s="8">
        <f>B4+1</f>
        <v>23</v>
      </c>
    </row>
    <row r="14" spans="1:6" x14ac:dyDescent="0.3">
      <c r="A14">
        <v>2</v>
      </c>
      <c r="B14" s="6">
        <f>E13</f>
        <v>439560</v>
      </c>
      <c r="C14" s="7">
        <f>C13*(1+$B$8)</f>
        <v>72100</v>
      </c>
      <c r="D14" s="7">
        <f>$B$7*C14</f>
        <v>7210</v>
      </c>
      <c r="E14" s="7">
        <f>(1+$B$9)*(B14+D14)</f>
        <v>482511.60000000003</v>
      </c>
      <c r="F14" s="8">
        <f>F13+1</f>
        <v>24</v>
      </c>
    </row>
    <row r="15" spans="1:6" x14ac:dyDescent="0.3">
      <c r="A15">
        <v>3</v>
      </c>
      <c r="B15" s="6">
        <f>E14</f>
        <v>482511.60000000003</v>
      </c>
      <c r="C15" s="7">
        <f>C14*(1+$B$8)</f>
        <v>74263</v>
      </c>
      <c r="D15" s="7">
        <f>$B$7*C15</f>
        <v>7426.3</v>
      </c>
      <c r="E15" s="7">
        <f>(1+$B$9)*(B15+D15)</f>
        <v>529132.93200000003</v>
      </c>
      <c r="F15" s="8">
        <f>F14+1</f>
        <v>25</v>
      </c>
    </row>
    <row r="16" spans="1:6" x14ac:dyDescent="0.3">
      <c r="A16">
        <v>4</v>
      </c>
      <c r="B16" s="6">
        <f>E15</f>
        <v>529132.93200000003</v>
      </c>
      <c r="C16" s="7">
        <f>C15*(1+$B$8)</f>
        <v>76490.89</v>
      </c>
      <c r="D16" s="7">
        <f>$B$7*C16</f>
        <v>7649.0889999999999</v>
      </c>
      <c r="E16" s="7">
        <f>(1+$B$9)*(B16+D16)</f>
        <v>579724.58268000011</v>
      </c>
      <c r="F16" s="8">
        <f>F15+1</f>
        <v>26</v>
      </c>
    </row>
    <row r="17" spans="1:6" x14ac:dyDescent="0.3">
      <c r="A17">
        <v>5</v>
      </c>
      <c r="B17" s="6">
        <f>E16</f>
        <v>579724.58268000011</v>
      </c>
      <c r="C17" s="7">
        <f>C16*(1+$B$8)</f>
        <v>78785.616699999999</v>
      </c>
      <c r="D17" s="7">
        <f>$B$7*C17</f>
        <v>7878.56167</v>
      </c>
      <c r="E17" s="7">
        <f>(1+$B$9)*(B17+D17)</f>
        <v>634611.3958980001</v>
      </c>
      <c r="F17" s="8">
        <f>F16+1</f>
        <v>27</v>
      </c>
    </row>
    <row r="18" spans="1:6" x14ac:dyDescent="0.3">
      <c r="A18">
        <v>6</v>
      </c>
      <c r="B18" s="6">
        <f>E17</f>
        <v>634611.3958980001</v>
      </c>
      <c r="C18" s="7">
        <f>C17*(1+$B$8)</f>
        <v>81149.185201</v>
      </c>
      <c r="D18" s="7">
        <f>$B$7*C18</f>
        <v>8114.9185201</v>
      </c>
      <c r="E18" s="7">
        <f>(1+$B$9)*(B18+D18)</f>
        <v>694144.41957154812</v>
      </c>
      <c r="F18" s="8">
        <f>F17+1</f>
        <v>28</v>
      </c>
    </row>
    <row r="19" spans="1:6" x14ac:dyDescent="0.3">
      <c r="B19" s="6"/>
      <c r="C19" s="7"/>
      <c r="D19" s="7"/>
      <c r="E19" s="7"/>
      <c r="F19" s="8"/>
    </row>
    <row r="20" spans="1:6" x14ac:dyDescent="0.3">
      <c r="B20" s="6"/>
      <c r="C20" s="7"/>
      <c r="D20" s="7"/>
      <c r="E20" s="7"/>
      <c r="F20" s="8"/>
    </row>
    <row r="21" spans="1:6" x14ac:dyDescent="0.3">
      <c r="B21" s="6"/>
      <c r="C21" s="7"/>
      <c r="D21" s="7"/>
      <c r="E21" s="7"/>
      <c r="F21" s="8"/>
    </row>
    <row r="22" spans="1:6" x14ac:dyDescent="0.3">
      <c r="B22" s="6"/>
      <c r="C22" s="7"/>
      <c r="D22" s="7"/>
      <c r="E22" s="7"/>
      <c r="F22" s="8"/>
    </row>
    <row r="23" spans="1:6" x14ac:dyDescent="0.3">
      <c r="B23" s="6"/>
      <c r="C23" s="7"/>
      <c r="D23" s="7"/>
      <c r="E23" s="7"/>
      <c r="F23" s="8"/>
    </row>
    <row r="24" spans="1:6" x14ac:dyDescent="0.3">
      <c r="B24" s="6"/>
      <c r="C24" s="7"/>
      <c r="D24" s="7"/>
      <c r="E24" s="7"/>
      <c r="F24" s="8"/>
    </row>
    <row r="25" spans="1:6" x14ac:dyDescent="0.3">
      <c r="B25" s="6"/>
      <c r="C25" s="7"/>
      <c r="D25" s="7"/>
      <c r="E25" s="7"/>
      <c r="F25" s="8"/>
    </row>
    <row r="26" spans="1:6" x14ac:dyDescent="0.3">
      <c r="B26" s="6"/>
      <c r="C26" s="7"/>
      <c r="D26" s="7"/>
      <c r="E26" s="7"/>
      <c r="F26" s="8"/>
    </row>
    <row r="27" spans="1:6" x14ac:dyDescent="0.3">
      <c r="B27" s="6"/>
      <c r="C27" s="7"/>
      <c r="D27" s="7"/>
      <c r="E27" s="7"/>
      <c r="F27" s="8"/>
    </row>
    <row r="28" spans="1:6" x14ac:dyDescent="0.3">
      <c r="B28" s="6"/>
      <c r="C28" s="7"/>
      <c r="D28" s="7"/>
      <c r="E28" s="7"/>
      <c r="F28" s="8"/>
    </row>
    <row r="29" spans="1:6" x14ac:dyDescent="0.3">
      <c r="B29" s="6"/>
      <c r="C29" s="7"/>
      <c r="D29" s="7"/>
      <c r="E29" s="7"/>
      <c r="F29" s="8"/>
    </row>
    <row r="30" spans="1:6" x14ac:dyDescent="0.3">
      <c r="B30" s="6"/>
      <c r="C30" s="7"/>
      <c r="D30" s="7"/>
      <c r="E30" s="7"/>
      <c r="F30" s="8"/>
    </row>
    <row r="31" spans="1:6" x14ac:dyDescent="0.3">
      <c r="B31" s="6"/>
      <c r="C31" s="7"/>
      <c r="D31" s="7"/>
      <c r="E31" s="7"/>
      <c r="F31" s="8"/>
    </row>
    <row r="32" spans="1:6" x14ac:dyDescent="0.3">
      <c r="B32" s="6"/>
      <c r="C32" s="7"/>
      <c r="D32" s="7"/>
      <c r="E32" s="7"/>
      <c r="F32" s="8"/>
    </row>
    <row r="33" spans="2:6" x14ac:dyDescent="0.3">
      <c r="B33" s="6"/>
      <c r="C33" s="7"/>
      <c r="D33" s="7"/>
      <c r="E33" s="7"/>
      <c r="F33" s="8"/>
    </row>
    <row r="34" spans="2:6" x14ac:dyDescent="0.3">
      <c r="B34" s="6"/>
      <c r="C34" s="7"/>
      <c r="D34" s="7"/>
      <c r="E34" s="7"/>
      <c r="F34" s="8"/>
    </row>
    <row r="35" spans="2:6" x14ac:dyDescent="0.3">
      <c r="B35" s="6"/>
      <c r="C35" s="7"/>
      <c r="D35" s="7"/>
      <c r="E35" s="7"/>
      <c r="F35" s="8"/>
    </row>
    <row r="36" spans="2:6" x14ac:dyDescent="0.3">
      <c r="B36" s="6"/>
      <c r="C36" s="7"/>
      <c r="D36" s="7"/>
      <c r="E36" s="7"/>
      <c r="F36" s="8"/>
    </row>
    <row r="37" spans="2:6" x14ac:dyDescent="0.3">
      <c r="B37" s="6"/>
      <c r="C37" s="7"/>
      <c r="D37" s="7"/>
      <c r="E37" s="7"/>
      <c r="F37" s="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test stimulate years 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Winch</dc:creator>
  <cp:lastModifiedBy>Desai, Mr. Sahil</cp:lastModifiedBy>
  <dcterms:created xsi:type="dcterms:W3CDTF">2018-11-21T03:46:03Z</dcterms:created>
  <dcterms:modified xsi:type="dcterms:W3CDTF">2020-04-06T21:06:42Z</dcterms:modified>
</cp:coreProperties>
</file>